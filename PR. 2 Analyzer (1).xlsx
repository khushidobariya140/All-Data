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192"/>
  </bookViews>
  <sheets>
    <sheet name="Dashboard" sheetId="9" r:id="rId1"/>
    <sheet name="Project Instructions" sheetId="1" r:id="rId2"/>
    <sheet name="Visualization" sheetId="6" r:id="rId3"/>
    <sheet name="dataset" sheetId="2" r:id="rId4"/>
  </sheets>
  <definedNames>
    <definedName name="Slicer_Discount">#N/A</definedName>
    <definedName name="Slicer_Profit">#N/A</definedName>
    <definedName name="Slicer_Quantity">#N/A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2" l="1"/>
  <c r="P20" i="2"/>
  <c r="K201" i="2" l="1"/>
  <c r="J201" i="2"/>
  <c r="K200" i="2"/>
  <c r="J200" i="2"/>
  <c r="K199" i="2"/>
  <c r="J199" i="2"/>
  <c r="K198" i="2"/>
  <c r="J198" i="2"/>
  <c r="K197" i="2"/>
  <c r="J197" i="2"/>
  <c r="K196" i="2"/>
  <c r="J196" i="2"/>
  <c r="K195" i="2"/>
  <c r="J195" i="2"/>
  <c r="K194" i="2"/>
  <c r="J194" i="2"/>
  <c r="K193" i="2"/>
  <c r="J193" i="2"/>
  <c r="K192" i="2"/>
  <c r="J192" i="2"/>
  <c r="K191" i="2"/>
  <c r="J191" i="2"/>
  <c r="K190" i="2"/>
  <c r="J190" i="2"/>
  <c r="K189" i="2"/>
  <c r="J189" i="2"/>
  <c r="K188" i="2"/>
  <c r="J188" i="2"/>
  <c r="K187" i="2"/>
  <c r="J187" i="2"/>
  <c r="K186" i="2"/>
  <c r="J186" i="2"/>
  <c r="K185" i="2"/>
  <c r="J185" i="2"/>
  <c r="K184" i="2"/>
  <c r="J184" i="2"/>
  <c r="K183" i="2"/>
  <c r="J183" i="2"/>
  <c r="K182" i="2"/>
  <c r="J182" i="2"/>
  <c r="K181" i="2"/>
  <c r="J181" i="2"/>
  <c r="K180" i="2"/>
  <c r="J180" i="2"/>
  <c r="K179" i="2"/>
  <c r="J179" i="2"/>
  <c r="K178" i="2"/>
  <c r="J178" i="2"/>
  <c r="K177" i="2"/>
  <c r="J177" i="2"/>
  <c r="K176" i="2"/>
  <c r="J176" i="2"/>
  <c r="K175" i="2"/>
  <c r="J175" i="2"/>
  <c r="K174" i="2"/>
  <c r="J174" i="2"/>
  <c r="K173" i="2"/>
  <c r="J173" i="2"/>
  <c r="K172" i="2"/>
  <c r="J172" i="2"/>
  <c r="K171" i="2"/>
  <c r="J171" i="2"/>
  <c r="K170" i="2"/>
  <c r="J170" i="2"/>
  <c r="K169" i="2"/>
  <c r="J169" i="2"/>
  <c r="K168" i="2"/>
  <c r="J168" i="2"/>
  <c r="K167" i="2"/>
  <c r="J167" i="2"/>
  <c r="K166" i="2"/>
  <c r="J166" i="2"/>
  <c r="K165" i="2"/>
  <c r="J165" i="2"/>
  <c r="K164" i="2"/>
  <c r="J164" i="2"/>
  <c r="K163" i="2"/>
  <c r="J163" i="2"/>
  <c r="K162" i="2"/>
  <c r="J162" i="2"/>
  <c r="K161" i="2"/>
  <c r="J161" i="2"/>
  <c r="K160" i="2"/>
  <c r="J160" i="2"/>
  <c r="K159" i="2"/>
  <c r="J159" i="2"/>
  <c r="K158" i="2"/>
  <c r="J158" i="2"/>
  <c r="K157" i="2"/>
  <c r="J157" i="2"/>
  <c r="K156" i="2"/>
  <c r="J156" i="2"/>
  <c r="K155" i="2"/>
  <c r="J155" i="2"/>
  <c r="K154" i="2"/>
  <c r="J154" i="2"/>
  <c r="K153" i="2"/>
  <c r="J153" i="2"/>
  <c r="K152" i="2"/>
  <c r="J152" i="2"/>
  <c r="K151" i="2"/>
  <c r="J151" i="2"/>
  <c r="K150" i="2"/>
  <c r="J150" i="2"/>
  <c r="K149" i="2"/>
  <c r="J149" i="2"/>
  <c r="K148" i="2"/>
  <c r="J148" i="2"/>
  <c r="K147" i="2"/>
  <c r="J147" i="2"/>
  <c r="K146" i="2"/>
  <c r="J146" i="2"/>
  <c r="K145" i="2"/>
  <c r="J145" i="2"/>
  <c r="K144" i="2"/>
  <c r="J144" i="2"/>
  <c r="K143" i="2"/>
  <c r="J143" i="2"/>
  <c r="K142" i="2"/>
  <c r="J142" i="2"/>
  <c r="K141" i="2"/>
  <c r="J141" i="2"/>
  <c r="K140" i="2"/>
  <c r="J140" i="2"/>
  <c r="K139" i="2"/>
  <c r="J139" i="2"/>
  <c r="K138" i="2"/>
  <c r="J138" i="2"/>
  <c r="K137" i="2"/>
  <c r="J137" i="2"/>
  <c r="K136" i="2"/>
  <c r="J136" i="2"/>
  <c r="K135" i="2"/>
  <c r="J135" i="2"/>
  <c r="K134" i="2"/>
  <c r="J134" i="2"/>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K113" i="2"/>
  <c r="J113" i="2"/>
  <c r="K112" i="2"/>
  <c r="J112" i="2"/>
  <c r="K111" i="2"/>
  <c r="J111" i="2"/>
  <c r="K110" i="2"/>
  <c r="J110" i="2"/>
  <c r="K109" i="2"/>
  <c r="J109" i="2"/>
  <c r="K108" i="2"/>
  <c r="J108" i="2"/>
  <c r="K107" i="2"/>
  <c r="J107" i="2"/>
  <c r="K106" i="2"/>
  <c r="J106" i="2"/>
  <c r="K105" i="2"/>
  <c r="J105" i="2"/>
  <c r="K104" i="2"/>
  <c r="J104" i="2"/>
  <c r="K103" i="2"/>
  <c r="J103" i="2"/>
  <c r="K102" i="2"/>
  <c r="J102" i="2"/>
  <c r="K101" i="2"/>
  <c r="J101" i="2"/>
  <c r="K100" i="2"/>
  <c r="J100" i="2"/>
  <c r="K99" i="2"/>
  <c r="J99" i="2"/>
  <c r="K98" i="2"/>
  <c r="J98" i="2"/>
  <c r="K97" i="2"/>
  <c r="J97" i="2"/>
  <c r="K96" i="2"/>
  <c r="J96" i="2"/>
  <c r="K95" i="2"/>
  <c r="J95" i="2"/>
  <c r="K94" i="2"/>
  <c r="J94" i="2"/>
  <c r="K93" i="2"/>
  <c r="J93" i="2"/>
  <c r="K92" i="2"/>
  <c r="J92" i="2"/>
  <c r="K91" i="2"/>
  <c r="J91" i="2"/>
  <c r="K90" i="2"/>
  <c r="J90" i="2"/>
  <c r="K89" i="2"/>
  <c r="J89" i="2"/>
  <c r="K88" i="2"/>
  <c r="J88" i="2"/>
  <c r="K87" i="2"/>
  <c r="J87" i="2"/>
  <c r="K86" i="2"/>
  <c r="J86" i="2"/>
  <c r="K85" i="2"/>
  <c r="J85" i="2"/>
  <c r="K84" i="2"/>
  <c r="J84" i="2"/>
  <c r="K83" i="2"/>
  <c r="J83" i="2"/>
  <c r="K82" i="2"/>
  <c r="J82" i="2"/>
  <c r="K81" i="2"/>
  <c r="J81" i="2"/>
  <c r="K80" i="2"/>
  <c r="J80" i="2"/>
  <c r="K79" i="2"/>
  <c r="J79" i="2"/>
  <c r="K78" i="2"/>
  <c r="J78" i="2"/>
  <c r="K77" i="2"/>
  <c r="J77" i="2"/>
  <c r="K76" i="2"/>
  <c r="J76" i="2"/>
  <c r="K75" i="2"/>
  <c r="J75" i="2"/>
  <c r="K74" i="2"/>
  <c r="J74" i="2"/>
  <c r="K73" i="2"/>
  <c r="J73" i="2"/>
  <c r="K72" i="2"/>
  <c r="J72" i="2"/>
  <c r="K71" i="2"/>
  <c r="J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1" i="2"/>
  <c r="J41" i="2"/>
  <c r="K40" i="2"/>
  <c r="J40" i="2"/>
  <c r="K39" i="2"/>
  <c r="J39" i="2"/>
  <c r="K38" i="2"/>
  <c r="J38" i="2"/>
  <c r="K37" i="2"/>
  <c r="J37" i="2"/>
  <c r="K36" i="2"/>
  <c r="J36" i="2"/>
  <c r="K35" i="2"/>
  <c r="J35" i="2"/>
  <c r="K34" i="2"/>
  <c r="J34" i="2"/>
  <c r="K33" i="2"/>
  <c r="J33" i="2"/>
  <c r="K32" i="2"/>
  <c r="J32" i="2"/>
  <c r="K31" i="2"/>
  <c r="J31" i="2"/>
  <c r="K30" i="2"/>
  <c r="J30" i="2"/>
  <c r="P29" i="2"/>
  <c r="O29" i="2"/>
  <c r="K29" i="2"/>
  <c r="J29" i="2"/>
  <c r="P28" i="2"/>
  <c r="O28" i="2"/>
  <c r="K28" i="2"/>
  <c r="J28" i="2"/>
  <c r="P27" i="2"/>
  <c r="O27" i="2"/>
  <c r="K27" i="2"/>
  <c r="J27" i="2"/>
  <c r="P26" i="2"/>
  <c r="O26" i="2"/>
  <c r="K26" i="2"/>
  <c r="J26" i="2"/>
  <c r="P25" i="2"/>
  <c r="O25" i="2"/>
  <c r="K25" i="2"/>
  <c r="J25" i="2"/>
  <c r="P24" i="2"/>
  <c r="O24" i="2"/>
  <c r="K24" i="2"/>
  <c r="J24" i="2"/>
  <c r="P23" i="2"/>
  <c r="O23" i="2"/>
  <c r="K23" i="2"/>
  <c r="J23" i="2"/>
  <c r="P22" i="2"/>
  <c r="O22" i="2"/>
  <c r="K22" i="2"/>
  <c r="J22" i="2"/>
  <c r="P21" i="2"/>
  <c r="O21" i="2"/>
  <c r="K21" i="2"/>
  <c r="J21" i="2"/>
  <c r="O20" i="2"/>
  <c r="K20" i="2"/>
  <c r="J20" i="2"/>
  <c r="K19" i="2"/>
  <c r="J19" i="2"/>
  <c r="K18" i="2"/>
  <c r="J18" i="2"/>
  <c r="K17" i="2"/>
  <c r="J17" i="2"/>
  <c r="K16" i="2"/>
  <c r="J16" i="2"/>
  <c r="O15" i="2"/>
  <c r="K15" i="2"/>
  <c r="J15" i="2"/>
  <c r="K14" i="2"/>
  <c r="J14" i="2"/>
  <c r="K13" i="2"/>
  <c r="J13" i="2"/>
  <c r="K12" i="2"/>
  <c r="J12" i="2"/>
  <c r="O11" i="2"/>
  <c r="K11" i="2"/>
  <c r="J11" i="2"/>
  <c r="O10" i="2"/>
  <c r="K10" i="2"/>
  <c r="J10" i="2"/>
  <c r="O9" i="2"/>
  <c r="K9" i="2"/>
  <c r="J9" i="2"/>
  <c r="O8" i="2"/>
  <c r="K8" i="2"/>
  <c r="J8" i="2"/>
  <c r="P7" i="2"/>
  <c r="O7" i="2"/>
  <c r="K7" i="2"/>
  <c r="J7" i="2"/>
  <c r="O6" i="2"/>
  <c r="K6" i="2"/>
  <c r="J6" i="2"/>
  <c r="O5" i="2"/>
  <c r="K5" i="2"/>
  <c r="J5" i="2"/>
  <c r="O4" i="2"/>
  <c r="K4" i="2"/>
  <c r="J4" i="2"/>
  <c r="O3" i="2"/>
  <c r="N3" i="2"/>
  <c r="K3" i="2"/>
  <c r="J3" i="2"/>
  <c r="P2" i="2"/>
  <c r="O2" i="2"/>
  <c r="M2" i="2"/>
  <c r="K2" i="2"/>
  <c r="J2" i="2"/>
</calcChain>
</file>

<file path=xl/sharedStrings.xml><?xml version="1.0" encoding="utf-8"?>
<sst xmlns="http://schemas.openxmlformats.org/spreadsheetml/2006/main" count="831" uniqueCount="93">
  <si>
    <t>PR. 2 Analyzer</t>
  </si>
  <si>
    <r>
      <rPr>
        <b/>
        <sz val="11"/>
        <color theme="1"/>
        <rFont val="Calibri"/>
        <family val="2"/>
      </rPr>
      <t xml:space="preserve">Topics:
</t>
    </r>
    <r>
      <rPr>
        <sz val="11"/>
        <color theme="1"/>
        <rFont val="Calibri"/>
        <family val="2"/>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family val="2"/>
      </rPr>
      <t>Main Tasks:</t>
    </r>
    <r>
      <rPr>
        <sz val="11"/>
        <color rgb="FF38761D"/>
        <rFont val="Calibri"/>
        <family val="2"/>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family val="2"/>
      </rPr>
      <t xml:space="preserve">
</t>
    </r>
    <r>
      <rPr>
        <b/>
        <sz val="11"/>
        <color theme="1"/>
        <rFont val="Calibri"/>
        <family val="2"/>
      </rPr>
      <t xml:space="preserve">Deliverable:
</t>
    </r>
    <r>
      <rPr>
        <sz val="11"/>
        <color theme="1"/>
        <rFont val="Calibri"/>
        <family val="2"/>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</si>
  <si>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</si>
  <si>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</si>
  <si>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</si>
  <si>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</si>
  <si>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</si>
  <si>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</si>
  <si>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</si>
  <si>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</si>
  <si>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</si>
  <si>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</si>
  <si>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</si>
  <si>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</si>
  <si>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</si>
  <si>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</si>
  <si>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</si>
  <si>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</si>
  <si>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</si>
  <si>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</si>
  <si>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</si>
  <si>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</si>
  <si>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</si>
  <si>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</si>
  <si>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</si>
  <si>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</si>
  <si>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</si>
  <si>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</si>
  <si>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</si>
  <si>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</si>
  <si>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</si>
  <si>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</si>
  <si>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</si>
  <si>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</si>
  <si>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</si>
  <si>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</si>
  <si>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</si>
  <si>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</si>
  <si>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</si>
  <si>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</si>
  <si>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</si>
  <si>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</si>
  <si>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</si>
  <si>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</si>
  <si>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</si>
  <si>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</si>
  <si>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</si>
  <si>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</si>
  <si>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</si>
  <si>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</si>
  <si>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</si>
  <si>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</si>
  <si>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</si>
  <si>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</si>
  <si>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</si>
  <si>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</si>
  <si>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</si>
  <si>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</si>
  <si>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</si>
  <si>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</si>
  <si>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</si>
  <si>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</si>
  <si>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</si>
  <si>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</si>
  <si>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</si>
  <si>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</si>
  <si>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</si>
  <si>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</si>
  <si>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</si>
  <si>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</si>
  <si>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</si>
  <si>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</si>
  <si>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</si>
  <si>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</si>
  <si>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</si>
  <si>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</si>
  <si>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</si>
  <si>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</si>
  <si>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SUMIF</t>
  </si>
  <si>
    <t>MONTHLY SALES -%</t>
  </si>
  <si>
    <t>TIMESTAMP COLUMN NOW</t>
  </si>
  <si>
    <t>HIGH VALUE CUST</t>
  </si>
  <si>
    <t>TOP 10%</t>
  </si>
  <si>
    <t>MEAN</t>
  </si>
  <si>
    <t>WHATIF - PROFIT</t>
  </si>
  <si>
    <t>MAX</t>
  </si>
  <si>
    <t>MEDIAN</t>
  </si>
  <si>
    <t>MIN</t>
  </si>
  <si>
    <t>Row Labels</t>
  </si>
  <si>
    <t>Grand Total</t>
  </si>
  <si>
    <t>Sum of Sales</t>
  </si>
  <si>
    <r>
      <t xml:space="preserve">        </t>
    </r>
    <r>
      <rPr>
        <sz val="26"/>
        <color theme="1"/>
        <rFont val="Baskerville Old Face"/>
        <family val="1"/>
      </rPr>
      <t>SALES DASHBOARD</t>
    </r>
  </si>
  <si>
    <t>MONTHLY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</si>
</sst>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scheme val="minor"/>
    </font>
    <font>
      <b/>
      <sz val="11"/>
      <color theme="1"/>
      <name val="Calibri"/>
      <family val="2"/>
    </font>
    <font>
      <sz val="11"/>
      <color theme="1"/>
      <name val="Calibri"/>
      <family val="2"/>
    </font>
    <font>
      <b/>
      <sz val="11"/>
      <color theme="1"/>
      <name val="Calibri"/>
      <family val="2"/>
      <scheme val="minor"/>
    </font>
    <font>
      <b/>
      <sz val="11"/>
      <color rgb="FF38761D"/>
      <name val="Calibri"/>
      <family val="2"/>
    </font>
    <font>
      <sz val="11"/>
      <color rgb="FF38761D"/>
      <name val="Calibri"/>
      <family val="2"/>
    </font>
    <font>
      <b/>
      <sz val="11"/>
      <color theme="1"/>
      <name val="Calibri"/>
      <family val="2"/>
      <scheme val="minor"/>
    </font>
    <font>
      <b/>
      <i/>
      <sz val="11"/>
      <color theme="1"/>
      <name val="Calibri"/>
      <family val="2"/>
      <scheme val="minor"/>
    </font>
    <font>
      <sz val="11"/>
      <color theme="1"/>
      <name val="Arial"/>
      <family val="2"/>
    </font>
    <font>
      <sz val="20"/>
      <color theme="1"/>
      <name val="Calibri"/>
      <family val="2"/>
      <scheme val="minor"/>
    </font>
    <font>
      <sz val="26"/>
      <color theme="1"/>
      <name val="Calibri"/>
      <family val="2"/>
      <scheme val="minor"/>
    </font>
    <font>
      <sz val="26"/>
      <color theme="1"/>
      <name val="Baskerville Old Face"/>
      <family val="1"/>
    </font>
  </fonts>
  <fills count="18">
    <fill>
      <patternFill patternType="none"/>
    </fill>
    <fill>
      <patternFill patternType="gray125"/>
    </fill>
    <fill>
      <patternFill patternType="solid">
        <fgColor rgb="FFFFF2CC"/>
        <bgColor rgb="FFFFF2CC"/>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399975585192419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1">
    <xf numFmtId="0" fontId="0" fillId="0" borderId="0" xfId="0" applyFont="1" applyAlignment="1"/>
    <xf numFmtId="0" fontId="1" fillId="2" borderId="1" xfId="0" applyFont="1" applyFill="1" applyBorder="1" applyAlignment="1">
      <alignment horizontal="center"/>
    </xf>
    <xf numFmtId="0" fontId="2" fillId="0" borderId="0" xfId="0" applyFont="1"/>
    <xf numFmtId="0" fontId="2" fillId="0" borderId="1" xfId="0" applyFont="1" applyBorder="1" applyAlignment="1"/>
    <xf numFmtId="0" fontId="3" fillId="0" borderId="0" xfId="0" applyFont="1"/>
    <xf numFmtId="0" fontId="0" fillId="0" borderId="2" xfId="0" applyFont="1" applyBorder="1" applyAlignment="1"/>
    <xf numFmtId="0" fontId="0" fillId="15" borderId="2" xfId="0" applyFont="1" applyFill="1" applyBorder="1" applyAlignment="1"/>
    <xf numFmtId="0" fontId="0" fillId="6" borderId="2" xfId="0" applyFont="1" applyFill="1" applyBorder="1" applyAlignment="1"/>
    <xf numFmtId="0" fontId="0" fillId="3" borderId="2" xfId="0" applyFont="1" applyFill="1" applyBorder="1" applyAlignment="1"/>
    <xf numFmtId="0" fontId="6" fillId="10" borderId="2" xfId="0" applyFont="1" applyFill="1" applyBorder="1" applyAlignment="1"/>
    <xf numFmtId="0" fontId="8" fillId="8" borderId="3" xfId="0" applyFont="1" applyFill="1" applyBorder="1" applyAlignment="1"/>
    <xf numFmtId="164" fontId="8" fillId="8" borderId="3" xfId="0" applyNumberFormat="1" applyFont="1" applyFill="1" applyBorder="1" applyAlignment="1"/>
    <xf numFmtId="0" fontId="8" fillId="8" borderId="2" xfId="0" applyFont="1" applyFill="1" applyBorder="1" applyAlignment="1"/>
    <xf numFmtId="164" fontId="8" fillId="8" borderId="2" xfId="0" applyNumberFormat="1" applyFont="1" applyFill="1" applyBorder="1" applyAlignment="1"/>
    <xf numFmtId="0" fontId="8" fillId="0" borderId="0" xfId="0" applyFont="1" applyAlignment="1"/>
    <xf numFmtId="0" fontId="6" fillId="15" borderId="2" xfId="0" applyFont="1" applyFill="1" applyBorder="1" applyAlignment="1"/>
    <xf numFmtId="0" fontId="0" fillId="7" borderId="2" xfId="0" applyFont="1" applyFill="1" applyBorder="1" applyAlignment="1"/>
    <xf numFmtId="22" fontId="0" fillId="14" borderId="2" xfId="0" applyNumberFormat="1" applyFont="1" applyFill="1" applyBorder="1" applyAlignment="1"/>
    <xf numFmtId="0" fontId="0" fillId="14" borderId="2" xfId="0" applyFont="1" applyFill="1" applyBorder="1" applyAlignment="1"/>
    <xf numFmtId="0" fontId="6" fillId="9" borderId="2" xfId="0" applyFont="1" applyFill="1" applyBorder="1" applyAlignment="1"/>
    <xf numFmtId="0" fontId="6" fillId="17" borderId="2" xfId="0" applyFont="1" applyFill="1" applyBorder="1" applyAlignment="1">
      <alignment horizontal="center" vertical="center"/>
    </xf>
    <xf numFmtId="0" fontId="6" fillId="8" borderId="2" xfId="0" applyFont="1" applyFill="1" applyBorder="1" applyAlignment="1">
      <alignment horizontal="center" vertical="center"/>
    </xf>
    <xf numFmtId="0" fontId="0" fillId="13" borderId="2" xfId="0" applyFont="1" applyFill="1" applyBorder="1" applyAlignment="1"/>
    <xf numFmtId="0" fontId="6" fillId="16" borderId="2" xfId="0" applyFont="1" applyFill="1" applyBorder="1" applyAlignment="1">
      <alignment horizontal="center" vertical="center"/>
    </xf>
    <xf numFmtId="0" fontId="6" fillId="12" borderId="2" xfId="0" applyFont="1" applyFill="1" applyBorder="1" applyAlignment="1"/>
    <xf numFmtId="0" fontId="0" fillId="14" borderId="4" xfId="0" applyFont="1" applyFill="1" applyBorder="1" applyAlignment="1"/>
    <xf numFmtId="0" fontId="0" fillId="5" borderId="5" xfId="0" applyFont="1" applyFill="1" applyBorder="1" applyAlignment="1"/>
    <xf numFmtId="0" fontId="6" fillId="4" borderId="4" xfId="0" applyFont="1" applyFill="1" applyBorder="1" applyAlignment="1">
      <alignment horizontal="center"/>
    </xf>
    <xf numFmtId="0" fontId="6" fillId="9" borderId="2" xfId="0" applyFont="1" applyFill="1" applyBorder="1" applyAlignment="1">
      <alignment horizontal="center"/>
    </xf>
    <xf numFmtId="0" fontId="6" fillId="11" borderId="2" xfId="0" applyFont="1" applyFill="1" applyBorder="1" applyAlignment="1">
      <alignment horizontal="center"/>
    </xf>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0" fillId="0" borderId="0" xfId="0" applyNumberFormat="1" applyFont="1" applyAlignment="1"/>
    <xf numFmtId="0" fontId="8" fillId="8" borderId="7" xfId="0" applyFont="1" applyFill="1" applyBorder="1" applyAlignment="1"/>
    <xf numFmtId="0" fontId="8" fillId="8" borderId="6" xfId="0" applyFont="1" applyFill="1" applyBorder="1" applyAlignment="1"/>
    <xf numFmtId="0" fontId="8" fillId="8" borderId="8" xfId="0" applyFont="1" applyFill="1" applyBorder="1" applyAlignment="1"/>
    <xf numFmtId="0" fontId="8" fillId="8" borderId="4" xfId="0" applyFont="1" applyFill="1" applyBorder="1" applyAlignment="1"/>
    <xf numFmtId="0" fontId="7" fillId="7" borderId="7" xfId="0" applyFont="1" applyFill="1" applyBorder="1" applyAlignment="1"/>
    <xf numFmtId="0" fontId="7" fillId="7" borderId="3" xfId="0" applyFont="1" applyFill="1" applyBorder="1" applyAlignment="1"/>
    <xf numFmtId="0" fontId="7" fillId="7" borderId="8" xfId="0" applyFont="1" applyFill="1" applyBorder="1" applyAlignment="1"/>
    <xf numFmtId="0" fontId="8" fillId="8" borderId="9" xfId="0" applyFont="1" applyFill="1" applyBorder="1" applyAlignment="1"/>
    <xf numFmtId="0" fontId="8" fillId="8" borderId="10" xfId="0" applyFont="1" applyFill="1" applyBorder="1" applyAlignment="1"/>
    <xf numFmtId="164" fontId="8" fillId="8" borderId="10" xfId="0" applyNumberFormat="1" applyFont="1" applyFill="1" applyBorder="1" applyAlignment="1"/>
    <xf numFmtId="0" fontId="8" fillId="8" borderId="11" xfId="0" applyFont="1" applyFill="1" applyBorder="1" applyAlignment="1"/>
    <xf numFmtId="0" fontId="3" fillId="10" borderId="5" xfId="0" applyFont="1" applyFill="1" applyBorder="1"/>
    <xf numFmtId="0" fontId="0" fillId="4" borderId="0" xfId="0" applyFont="1" applyFill="1" applyAlignment="1"/>
    <xf numFmtId="0" fontId="10" fillId="14" borderId="0" xfId="0" applyFont="1" applyFill="1" applyAlignment="1">
      <alignment horizontal="left" indent="1"/>
    </xf>
    <xf numFmtId="0" fontId="9" fillId="14" borderId="0" xfId="0" applyFont="1" applyFill="1" applyAlignment="1">
      <alignment horizontal="left" indent="1"/>
    </xf>
    <xf numFmtId="0" fontId="0" fillId="4" borderId="0" xfId="0" applyFont="1" applyFill="1" applyAlignment="1">
      <alignment horizontal="center"/>
    </xf>
    <xf numFmtId="0" fontId="0" fillId="14" borderId="0" xfId="0" applyFont="1" applyFill="1" applyAlignment="1"/>
  </cellXfs>
  <cellStyles count="1">
    <cellStyle name="Normal" xfId="0" builtinId="0"/>
  </cellStyles>
  <dxfs count="14">
    <dxf>
      <font>
        <color rgb="FF9C0006"/>
      </font>
      <fill>
        <patternFill>
          <bgColor rgb="FFFFC7CE"/>
        </patternFill>
      </fill>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numFmt numFmtId="164" formatCode="yyyy\-mm\-dd"/>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solid">
          <fgColor indexed="64"/>
          <bgColor theme="9" tint="0.79998168889431442"/>
        </patternFill>
      </fill>
      <alignment horizontal="general"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1"/>
        <color theme="1"/>
        <name val="Calibri"/>
        <scheme val="minor"/>
      </font>
      <fill>
        <patternFill patternType="solid">
          <fgColor indexed="64"/>
          <bgColor theme="7" tint="0.59999389629810485"/>
        </patternFill>
      </fill>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(1).xlsx]Visualization!PivotTable2</c:name>
    <c:fmtId val="1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Visualization!$B$3</c:f>
              <c:strCache>
                <c:ptCount val="1"/>
                <c:pt idx="0">
                  <c:v>Total</c:v>
                </c:pt>
              </c:strCache>
            </c:strRef>
          </c:tx>
          <c:spPr>
            <a:solidFill>
              <a:schemeClr val="accent1"/>
            </a:solidFill>
            <a:ln>
              <a:noFill/>
            </a:ln>
            <a:effectLst/>
          </c:spPr>
          <c:invertIfNegative val="0"/>
          <c:cat>
            <c:multiLvlStrRef>
              <c:f>Visualization!$A$4:$A$9</c:f>
              <c:multiLvlStrCache>
                <c:ptCount val="3"/>
                <c:lvl>
                  <c:pt idx="0">
                    <c:v>Clothing</c:v>
                  </c:pt>
                  <c:pt idx="1">
                    <c:v>Electronics</c:v>
                  </c:pt>
                  <c:pt idx="2">
                    <c:v>Office Supplies</c:v>
                  </c:pt>
                </c:lvl>
                <c:lvl>
                  <c:pt idx="0">
                    <c:v>South</c:v>
                  </c:pt>
                  <c:pt idx="2">
                    <c:v>West</c:v>
                  </c:pt>
                </c:lvl>
              </c:multiLvlStrCache>
            </c:multiLvlStrRef>
          </c:cat>
          <c:val>
            <c:numRef>
              <c:f>Visualization!$B$4:$B$9</c:f>
              <c:numCache>
                <c:formatCode>General</c:formatCode>
                <c:ptCount val="3"/>
                <c:pt idx="0">
                  <c:v>682.24</c:v>
                </c:pt>
                <c:pt idx="1">
                  <c:v>1832.06</c:v>
                </c:pt>
                <c:pt idx="2">
                  <c:v>1111.3399999999999</c:v>
                </c:pt>
              </c:numCache>
            </c:numRef>
          </c:val>
          <c:extLst>
            <c:ext xmlns:c16="http://schemas.microsoft.com/office/drawing/2014/chart" uri="{C3380CC4-5D6E-409C-BE32-E72D297353CC}">
              <c16:uniqueId val="{00000000-BA8C-4801-939A-92A45C70BB47}"/>
            </c:ext>
          </c:extLst>
        </c:ser>
        <c:dLbls>
          <c:showLegendKey val="0"/>
          <c:showVal val="0"/>
          <c:showCatName val="0"/>
          <c:showSerName val="0"/>
          <c:showPercent val="0"/>
          <c:showBubbleSize val="0"/>
        </c:dLbls>
        <c:gapWidth val="219"/>
        <c:overlap val="-27"/>
        <c:axId val="747326031"/>
        <c:axId val="747326447"/>
      </c:barChart>
      <c:catAx>
        <c:axId val="7473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326447"/>
        <c:crosses val="autoZero"/>
        <c:auto val="1"/>
        <c:lblAlgn val="ctr"/>
        <c:lblOffset val="100"/>
        <c:noMultiLvlLbl val="0"/>
      </c:catAx>
      <c:valAx>
        <c:axId val="74732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326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(1).xlsx]Visualization!PivotTable2</c:name>
    <c:fmtId val="2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pieChart>
        <c:varyColors val="1"/>
        <c:ser>
          <c:idx val="0"/>
          <c:order val="0"/>
          <c:tx>
            <c:strRef>
              <c:f>Visualization!$B$3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01-4CBB-B2B8-83A3B75A6C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01-4CBB-B2B8-83A3B75A6C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01-4CBB-B2B8-83A3B75A6C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01-4CBB-B2B8-83A3B75A6C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01-4CBB-B2B8-83A3B75A6C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01-4CBB-B2B8-83A3B75A6C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01-4CBB-B2B8-83A3B75A6C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01-4CBB-B2B8-83A3B75A6C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01-4CBB-B2B8-83A3B75A6C2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01-4CBB-B2B8-83A3B75A6C2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301-4CBB-B2B8-83A3B75A6C2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301-4CBB-B2B8-83A3B75A6C2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301-4CBB-B2B8-83A3B75A6C2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301-4CBB-B2B8-83A3B75A6C2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301-4CBB-B2B8-83A3B75A6C2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301-4CBB-B2B8-83A3B75A6C2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301-4CBB-B2B8-83A3B75A6C2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301-4CBB-B2B8-83A3B75A6C2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301-4CBB-B2B8-83A3B75A6C2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301-4CBB-B2B8-83A3B75A6C2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301-4CBB-B2B8-83A3B75A6C2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301-4CBB-B2B8-83A3B75A6C2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301-4CBB-B2B8-83A3B75A6C2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301-4CBB-B2B8-83A3B75A6C2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301-4CBB-B2B8-83A3B75A6C29}"/>
              </c:ext>
            </c:extLst>
          </c:dPt>
          <c:cat>
            <c:multiLvlStrRef>
              <c:f>Visualization!$A$4:$A$9</c:f>
              <c:multiLvlStrCache>
                <c:ptCount val="3"/>
                <c:lvl>
                  <c:pt idx="0">
                    <c:v>Clothing</c:v>
                  </c:pt>
                  <c:pt idx="1">
                    <c:v>Electronics</c:v>
                  </c:pt>
                  <c:pt idx="2">
                    <c:v>Office Supplies</c:v>
                  </c:pt>
                </c:lvl>
                <c:lvl>
                  <c:pt idx="0">
                    <c:v>South</c:v>
                  </c:pt>
                  <c:pt idx="2">
                    <c:v>West</c:v>
                  </c:pt>
                </c:lvl>
              </c:multiLvlStrCache>
            </c:multiLvlStrRef>
          </c:cat>
          <c:val>
            <c:numRef>
              <c:f>Visualization!$B$4:$B$9</c:f>
              <c:numCache>
                <c:formatCode>General</c:formatCode>
                <c:ptCount val="3"/>
                <c:pt idx="0">
                  <c:v>682.24</c:v>
                </c:pt>
                <c:pt idx="1">
                  <c:v>1832.06</c:v>
                </c:pt>
                <c:pt idx="2">
                  <c:v>1111.3399999999999</c:v>
                </c:pt>
              </c:numCache>
            </c:numRef>
          </c:val>
          <c:extLst>
            <c:ext xmlns:c16="http://schemas.microsoft.com/office/drawing/2014/chart" uri="{C3380CC4-5D6E-409C-BE32-E72D297353CC}">
              <c16:uniqueId val="{00000032-A301-4CBB-B2B8-83A3B75A6C2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(1).xlsx]Visualization!PivotTable2</c:name>
    <c:fmtId val="2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Visualization!$B$3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Visualization!$A$4:$A$9</c:f>
              <c:multiLvlStrCache>
                <c:ptCount val="3"/>
                <c:lvl>
                  <c:pt idx="0">
                    <c:v>Clothing</c:v>
                  </c:pt>
                  <c:pt idx="1">
                    <c:v>Electronics</c:v>
                  </c:pt>
                  <c:pt idx="2">
                    <c:v>Office Supplies</c:v>
                  </c:pt>
                </c:lvl>
                <c:lvl>
                  <c:pt idx="0">
                    <c:v>South</c:v>
                  </c:pt>
                  <c:pt idx="2">
                    <c:v>West</c:v>
                  </c:pt>
                </c:lvl>
              </c:multiLvlStrCache>
            </c:multiLvlStrRef>
          </c:cat>
          <c:val>
            <c:numRef>
              <c:f>Visualization!$B$4:$B$9</c:f>
              <c:numCache>
                <c:formatCode>General</c:formatCode>
                <c:ptCount val="3"/>
                <c:pt idx="0">
                  <c:v>682.24</c:v>
                </c:pt>
                <c:pt idx="1">
                  <c:v>1832.06</c:v>
                </c:pt>
                <c:pt idx="2">
                  <c:v>1111.3399999999999</c:v>
                </c:pt>
              </c:numCache>
            </c:numRef>
          </c:val>
          <c:smooth val="0"/>
          <c:extLst>
            <c:ext xmlns:c16="http://schemas.microsoft.com/office/drawing/2014/chart" uri="{C3380CC4-5D6E-409C-BE32-E72D297353CC}">
              <c16:uniqueId val="{00000000-5C01-4ED9-8CE3-127CF3120C47}"/>
            </c:ext>
          </c:extLst>
        </c:ser>
        <c:dLbls>
          <c:showLegendKey val="0"/>
          <c:showVal val="0"/>
          <c:showCatName val="0"/>
          <c:showSerName val="0"/>
          <c:showPercent val="0"/>
          <c:showBubbleSize val="0"/>
        </c:dLbls>
        <c:marker val="1"/>
        <c:smooth val="0"/>
        <c:axId val="748985663"/>
        <c:axId val="748986495"/>
      </c:lineChart>
      <c:catAx>
        <c:axId val="74898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86495"/>
        <c:crosses val="autoZero"/>
        <c:auto val="1"/>
        <c:lblAlgn val="ctr"/>
        <c:lblOffset val="100"/>
        <c:noMultiLvlLbl val="0"/>
      </c:catAx>
      <c:valAx>
        <c:axId val="74898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856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(1).xlsx]Visualization!PivotTable2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Visualization!$B$3</c:f>
              <c:strCache>
                <c:ptCount val="1"/>
                <c:pt idx="0">
                  <c:v>Total</c:v>
                </c:pt>
              </c:strCache>
            </c:strRef>
          </c:tx>
          <c:spPr>
            <a:solidFill>
              <a:schemeClr val="accent1"/>
            </a:solidFill>
            <a:ln>
              <a:noFill/>
            </a:ln>
            <a:effectLst/>
          </c:spPr>
          <c:invertIfNegative val="0"/>
          <c:cat>
            <c:multiLvlStrRef>
              <c:f>Visualization!$A$4:$A$9</c:f>
              <c:multiLvlStrCache>
                <c:ptCount val="3"/>
                <c:lvl>
                  <c:pt idx="0">
                    <c:v>Clothing</c:v>
                  </c:pt>
                  <c:pt idx="1">
                    <c:v>Electronics</c:v>
                  </c:pt>
                  <c:pt idx="2">
                    <c:v>Office Supplies</c:v>
                  </c:pt>
                </c:lvl>
                <c:lvl>
                  <c:pt idx="0">
                    <c:v>South</c:v>
                  </c:pt>
                  <c:pt idx="2">
                    <c:v>West</c:v>
                  </c:pt>
                </c:lvl>
              </c:multiLvlStrCache>
            </c:multiLvlStrRef>
          </c:cat>
          <c:val>
            <c:numRef>
              <c:f>Visualization!$B$4:$B$9</c:f>
              <c:numCache>
                <c:formatCode>General</c:formatCode>
                <c:ptCount val="3"/>
                <c:pt idx="0">
                  <c:v>682.24</c:v>
                </c:pt>
                <c:pt idx="1">
                  <c:v>1832.06</c:v>
                </c:pt>
                <c:pt idx="2">
                  <c:v>1111.3399999999999</c:v>
                </c:pt>
              </c:numCache>
            </c:numRef>
          </c:val>
          <c:extLst>
            <c:ext xmlns:c16="http://schemas.microsoft.com/office/drawing/2014/chart" uri="{C3380CC4-5D6E-409C-BE32-E72D297353CC}">
              <c16:uniqueId val="{00000000-C20B-4D42-8DF7-229AB3D2C309}"/>
            </c:ext>
          </c:extLst>
        </c:ser>
        <c:dLbls>
          <c:showLegendKey val="0"/>
          <c:showVal val="0"/>
          <c:showCatName val="0"/>
          <c:showSerName val="0"/>
          <c:showPercent val="0"/>
          <c:showBubbleSize val="0"/>
        </c:dLbls>
        <c:gapWidth val="219"/>
        <c:overlap val="-27"/>
        <c:axId val="747326031"/>
        <c:axId val="747326447"/>
      </c:barChart>
      <c:catAx>
        <c:axId val="7473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326447"/>
        <c:crosses val="autoZero"/>
        <c:auto val="1"/>
        <c:lblAlgn val="ctr"/>
        <c:lblOffset val="100"/>
        <c:noMultiLvlLbl val="0"/>
      </c:catAx>
      <c:valAx>
        <c:axId val="74732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326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(1).xlsx]Visualization!PivotTable2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Visualization!$B$3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Visualization!$A$4:$A$9</c:f>
              <c:multiLvlStrCache>
                <c:ptCount val="3"/>
                <c:lvl>
                  <c:pt idx="0">
                    <c:v>Clothing</c:v>
                  </c:pt>
                  <c:pt idx="1">
                    <c:v>Electronics</c:v>
                  </c:pt>
                  <c:pt idx="2">
                    <c:v>Office Supplies</c:v>
                  </c:pt>
                </c:lvl>
                <c:lvl>
                  <c:pt idx="0">
                    <c:v>South</c:v>
                  </c:pt>
                  <c:pt idx="2">
                    <c:v>West</c:v>
                  </c:pt>
                </c:lvl>
              </c:multiLvlStrCache>
            </c:multiLvlStrRef>
          </c:cat>
          <c:val>
            <c:numRef>
              <c:f>Visualization!$B$4:$B$9</c:f>
              <c:numCache>
                <c:formatCode>General</c:formatCode>
                <c:ptCount val="3"/>
                <c:pt idx="0">
                  <c:v>682.24</c:v>
                </c:pt>
                <c:pt idx="1">
                  <c:v>1832.06</c:v>
                </c:pt>
                <c:pt idx="2">
                  <c:v>1111.3399999999999</c:v>
                </c:pt>
              </c:numCache>
            </c:numRef>
          </c:val>
          <c:smooth val="0"/>
          <c:extLst>
            <c:ext xmlns:c16="http://schemas.microsoft.com/office/drawing/2014/chart" uri="{C3380CC4-5D6E-409C-BE32-E72D297353CC}">
              <c16:uniqueId val="{00000000-F37F-47C8-B32C-5C76C32184D0}"/>
            </c:ext>
          </c:extLst>
        </c:ser>
        <c:dLbls>
          <c:showLegendKey val="0"/>
          <c:showVal val="0"/>
          <c:showCatName val="0"/>
          <c:showSerName val="0"/>
          <c:showPercent val="0"/>
          <c:showBubbleSize val="0"/>
        </c:dLbls>
        <c:marker val="1"/>
        <c:smooth val="0"/>
        <c:axId val="748985663"/>
        <c:axId val="748986495"/>
      </c:lineChart>
      <c:catAx>
        <c:axId val="74898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86495"/>
        <c:crosses val="autoZero"/>
        <c:auto val="1"/>
        <c:lblAlgn val="ctr"/>
        <c:lblOffset val="100"/>
        <c:noMultiLvlLbl val="0"/>
      </c:catAx>
      <c:valAx>
        <c:axId val="74898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856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(1).xlsx]Visualization!PivotTable2</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Visualization!$B$3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E8-48EC-991C-5688E64237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E8-48EC-991C-5688E64237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E8-48EC-991C-5688E64237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E8-48EC-991C-5688E64237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E8-48EC-991C-5688E64237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E8-48EC-991C-5688E64237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EE8-48EC-991C-5688E64237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EE8-48EC-991C-5688E642370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EE8-48EC-991C-5688E642370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EE8-48EC-991C-5688E642370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EE8-48EC-991C-5688E642370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EE8-48EC-991C-5688E642370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EE8-48EC-991C-5688E642370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EE8-48EC-991C-5688E642370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EE8-48EC-991C-5688E642370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EE8-48EC-991C-5688E642370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EE8-48EC-991C-5688E642370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EE8-48EC-991C-5688E642370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EE8-48EC-991C-5688E642370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EE8-48EC-991C-5688E642370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EE8-48EC-991C-5688E642370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EE8-48EC-991C-5688E642370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EE8-48EC-991C-5688E642370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EE8-48EC-991C-5688E642370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EE8-48EC-991C-5688E6423706}"/>
              </c:ext>
            </c:extLst>
          </c:dPt>
          <c:cat>
            <c:multiLvlStrRef>
              <c:f>Visualization!$A$4:$A$9</c:f>
              <c:multiLvlStrCache>
                <c:ptCount val="3"/>
                <c:lvl>
                  <c:pt idx="0">
                    <c:v>Clothing</c:v>
                  </c:pt>
                  <c:pt idx="1">
                    <c:v>Electronics</c:v>
                  </c:pt>
                  <c:pt idx="2">
                    <c:v>Office Supplies</c:v>
                  </c:pt>
                </c:lvl>
                <c:lvl>
                  <c:pt idx="0">
                    <c:v>South</c:v>
                  </c:pt>
                  <c:pt idx="2">
                    <c:v>West</c:v>
                  </c:pt>
                </c:lvl>
              </c:multiLvlStrCache>
            </c:multiLvlStrRef>
          </c:cat>
          <c:val>
            <c:numRef>
              <c:f>Visualization!$B$4:$B$9</c:f>
              <c:numCache>
                <c:formatCode>General</c:formatCode>
                <c:ptCount val="3"/>
                <c:pt idx="0">
                  <c:v>682.24</c:v>
                </c:pt>
                <c:pt idx="1">
                  <c:v>1832.06</c:v>
                </c:pt>
                <c:pt idx="2">
                  <c:v>1111.3399999999999</c:v>
                </c:pt>
              </c:numCache>
            </c:numRef>
          </c:val>
          <c:extLst>
            <c:ext xmlns:c16="http://schemas.microsoft.com/office/drawing/2014/chart" uri="{C3380CC4-5D6E-409C-BE32-E72D297353CC}">
              <c16:uniqueId val="{00000000-802B-4DD7-AEF8-3B68A3434BE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91441</xdr:colOff>
      <xdr:row>0</xdr:row>
      <xdr:rowOff>30480</xdr:rowOff>
    </xdr:from>
    <xdr:to>
      <xdr:col>0</xdr:col>
      <xdr:colOff>586740</xdr:colOff>
      <xdr:row>2</xdr:row>
      <xdr:rowOff>160019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1" y="30480"/>
          <a:ext cx="495299" cy="495299"/>
        </a:xfrm>
        <a:prstGeom prst="rect">
          <a:avLst/>
        </a:prstGeom>
      </xdr:spPr>
    </xdr:pic>
    <xdr:clientData/>
  </xdr:twoCellAnchor>
  <xdr:twoCellAnchor>
    <xdr:from>
      <xdr:col>1</xdr:col>
      <xdr:colOff>7620</xdr:colOff>
      <xdr:row>4</xdr:row>
      <xdr:rowOff>0</xdr:rowOff>
    </xdr:from>
    <xdr:to>
      <xdr:col>3</xdr:col>
      <xdr:colOff>601980</xdr:colOff>
      <xdr:row>8</xdr:row>
      <xdr:rowOff>0</xdr:rowOff>
    </xdr:to>
    <xdr:sp macro="" textlink="">
      <xdr:nvSpPr>
        <xdr:cNvPr id="4" name="Rounded Rectangle 3"/>
        <xdr:cNvSpPr/>
      </xdr:nvSpPr>
      <xdr:spPr>
        <a:xfrm>
          <a:off x="617220" y="731520"/>
          <a:ext cx="1813560" cy="73152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baseline="0"/>
            <a:t>              </a:t>
          </a:r>
          <a:r>
            <a:rPr lang="en-US" sz="1100" b="1" i="1" u="sng" baseline="0"/>
            <a:t>TOTAL SALES </a:t>
          </a:r>
        </a:p>
        <a:p>
          <a:pPr algn="l"/>
          <a:r>
            <a:rPr lang="en-US" sz="1100" baseline="0"/>
            <a:t>                </a:t>
          </a:r>
        </a:p>
        <a:p>
          <a:pPr marL="0" marR="0" indent="0" algn="l" defTabSz="914400" eaLnBrk="1" fontAlgn="auto" latinLnBrk="0" hangingPunct="1">
            <a:lnSpc>
              <a:spcPct val="100000"/>
            </a:lnSpc>
            <a:spcBef>
              <a:spcPts val="0"/>
            </a:spcBef>
            <a:spcAft>
              <a:spcPts val="0"/>
            </a:spcAft>
            <a:buClrTx/>
            <a:buSzTx/>
            <a:buFontTx/>
            <a:buNone/>
            <a:tabLst/>
            <a:defRPr/>
          </a:pPr>
          <a:r>
            <a:rPr lang="en-US" sz="1100" b="1" baseline="0"/>
            <a:t>                </a:t>
          </a:r>
          <a:r>
            <a:rPr lang="en-US" sz="1100" b="1" baseline="0">
              <a:solidFill>
                <a:schemeClr val="dk1"/>
              </a:solidFill>
              <a:effectLst/>
              <a:latin typeface="+mn-lt"/>
              <a:ea typeface="+mn-ea"/>
              <a:cs typeface="+mn-cs"/>
            </a:rPr>
            <a:t>195217.76</a:t>
          </a:r>
          <a:endParaRPr lang="en-US">
            <a:effectLst/>
          </a:endParaRPr>
        </a:p>
        <a:p>
          <a:pPr algn="l"/>
          <a:endParaRPr lang="en-US" sz="1100" b="1" baseline="0"/>
        </a:p>
      </xdr:txBody>
    </xdr:sp>
    <xdr:clientData/>
  </xdr:twoCellAnchor>
  <xdr:twoCellAnchor>
    <xdr:from>
      <xdr:col>6</xdr:col>
      <xdr:colOff>601980</xdr:colOff>
      <xdr:row>4</xdr:row>
      <xdr:rowOff>7620</xdr:rowOff>
    </xdr:from>
    <xdr:to>
      <xdr:col>10</xdr:col>
      <xdr:colOff>0</xdr:colOff>
      <xdr:row>7</xdr:row>
      <xdr:rowOff>175260</xdr:rowOff>
    </xdr:to>
    <xdr:sp macro="" textlink="">
      <xdr:nvSpPr>
        <xdr:cNvPr id="8" name="Rounded Rectangle 7"/>
        <xdr:cNvSpPr/>
      </xdr:nvSpPr>
      <xdr:spPr>
        <a:xfrm>
          <a:off x="4259580" y="739140"/>
          <a:ext cx="1836420" cy="7162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u="none"/>
            <a:t>          </a:t>
          </a:r>
          <a:r>
            <a:rPr lang="en-US" sz="1100" b="1" i="1" u="sng"/>
            <a:t>TOP SALE REGION</a:t>
          </a:r>
        </a:p>
        <a:p>
          <a:pPr algn="l"/>
          <a:r>
            <a:rPr lang="en-US" sz="1100"/>
            <a:t>                      </a:t>
          </a:r>
        </a:p>
        <a:p>
          <a:pPr algn="l"/>
          <a:r>
            <a:rPr lang="en-US" sz="1100" b="1" baseline="0">
              <a:solidFill>
                <a:schemeClr val="accent2">
                  <a:lumMod val="50000"/>
                </a:schemeClr>
              </a:solidFill>
            </a:rPr>
            <a:t>                     </a:t>
          </a:r>
          <a:r>
            <a:rPr lang="en-US" sz="1100" b="1" baseline="0">
              <a:solidFill>
                <a:schemeClr val="tx1"/>
              </a:solidFill>
            </a:rPr>
            <a:t>WEST</a:t>
          </a:r>
          <a:endParaRPr lang="en-US" sz="1100" b="1">
            <a:solidFill>
              <a:schemeClr val="tx1"/>
            </a:solidFill>
          </a:endParaRPr>
        </a:p>
      </xdr:txBody>
    </xdr:sp>
    <xdr:clientData/>
  </xdr:twoCellAnchor>
  <xdr:twoCellAnchor>
    <xdr:from>
      <xdr:col>12</xdr:col>
      <xdr:colOff>601980</xdr:colOff>
      <xdr:row>4</xdr:row>
      <xdr:rowOff>0</xdr:rowOff>
    </xdr:from>
    <xdr:to>
      <xdr:col>15</xdr:col>
      <xdr:colOff>601980</xdr:colOff>
      <xdr:row>8</xdr:row>
      <xdr:rowOff>7620</xdr:rowOff>
    </xdr:to>
    <xdr:sp macro="" textlink="">
      <xdr:nvSpPr>
        <xdr:cNvPr id="10" name="Rounded Rectangle 9"/>
        <xdr:cNvSpPr/>
      </xdr:nvSpPr>
      <xdr:spPr>
        <a:xfrm>
          <a:off x="7917180" y="731520"/>
          <a:ext cx="1828800" cy="73914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      </a:t>
          </a:r>
          <a:r>
            <a:rPr lang="en-US" sz="1100" b="1" i="1" u="sng"/>
            <a:t>LOWEST SALE REGION</a:t>
          </a:r>
        </a:p>
        <a:p>
          <a:pPr algn="l"/>
          <a:endParaRPr lang="en-US" sz="1100" b="1" i="1" u="none"/>
        </a:p>
        <a:p>
          <a:pPr algn="l"/>
          <a:r>
            <a:rPr lang="en-US" sz="1100" b="1" i="1" u="none" baseline="0"/>
            <a:t>                      EAST</a:t>
          </a:r>
          <a:endParaRPr lang="en-US" sz="1100" b="1" i="1" u="none"/>
        </a:p>
      </xdr:txBody>
    </xdr:sp>
    <xdr:clientData/>
  </xdr:twoCellAnchor>
  <xdr:twoCellAnchor>
    <xdr:from>
      <xdr:col>19</xdr:col>
      <xdr:colOff>7620</xdr:colOff>
      <xdr:row>4</xdr:row>
      <xdr:rowOff>0</xdr:rowOff>
    </xdr:from>
    <xdr:to>
      <xdr:col>22</xdr:col>
      <xdr:colOff>0</xdr:colOff>
      <xdr:row>7</xdr:row>
      <xdr:rowOff>175260</xdr:rowOff>
    </xdr:to>
    <xdr:sp macro="" textlink="">
      <xdr:nvSpPr>
        <xdr:cNvPr id="11" name="Rounded Rectangle 10"/>
        <xdr:cNvSpPr/>
      </xdr:nvSpPr>
      <xdr:spPr>
        <a:xfrm>
          <a:off x="11590020" y="731520"/>
          <a:ext cx="1821180" cy="7239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b="1" i="1" u="sng"/>
            <a:t>BEST PRODUCT CATEGORY</a:t>
          </a:r>
        </a:p>
        <a:p>
          <a:pPr algn="l"/>
          <a:endParaRPr lang="en-US" sz="1100" b="1" i="1" u="sng"/>
        </a:p>
        <a:p>
          <a:pPr algn="l"/>
          <a:r>
            <a:rPr lang="en-US" sz="1100" b="1" i="1" u="none"/>
            <a:t>                     BOOKS</a:t>
          </a:r>
        </a:p>
      </xdr:txBody>
    </xdr:sp>
    <xdr:clientData/>
  </xdr:twoCellAnchor>
  <xdr:twoCellAnchor>
    <xdr:from>
      <xdr:col>0</xdr:col>
      <xdr:colOff>365760</xdr:colOff>
      <xdr:row>11</xdr:row>
      <xdr:rowOff>160020</xdr:rowOff>
    </xdr:from>
    <xdr:to>
      <xdr:col>6</xdr:col>
      <xdr:colOff>320040</xdr:colOff>
      <xdr:row>24</xdr:row>
      <xdr:rowOff>175260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22860</xdr:colOff>
      <xdr:row>11</xdr:row>
      <xdr:rowOff>129540</xdr:rowOff>
    </xdr:from>
    <xdr:to>
      <xdr:col>10</xdr:col>
      <xdr:colOff>22860</xdr:colOff>
      <xdr:row>25</xdr:row>
      <xdr:rowOff>36195</xdr:rowOff>
    </xdr:to>
    <mc:AlternateContent xmlns:mc="http://schemas.openxmlformats.org/markup-compatibility/2006" xmlns:a14="http://schemas.microsoft.com/office/drawing/2010/main">
      <mc:Choice Requires="a14">
        <xdr:graphicFrame macro="">
          <xdr:nvGraphicFramePr>
            <xdr:cNvPr id="9" name="Quantity 1"/>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4290060" y="2141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106680</xdr:colOff>
      <xdr:row>11</xdr:row>
      <xdr:rowOff>106681</xdr:rowOff>
    </xdr:from>
    <xdr:to>
      <xdr:col>17</xdr:col>
      <xdr:colOff>365760</xdr:colOff>
      <xdr:row>25</xdr:row>
      <xdr:rowOff>30481</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350520</xdr:colOff>
      <xdr:row>11</xdr:row>
      <xdr:rowOff>137161</xdr:rowOff>
    </xdr:from>
    <xdr:to>
      <xdr:col>21</xdr:col>
      <xdr:colOff>160020</xdr:colOff>
      <xdr:row>22</xdr:row>
      <xdr:rowOff>53341</xdr:rowOff>
    </xdr:to>
    <mc:AlternateContent xmlns:mc="http://schemas.openxmlformats.org/markup-compatibility/2006" xmlns:a14="http://schemas.microsoft.com/office/drawing/2010/main">
      <mc:Choice Requires="a14">
        <xdr:graphicFrame macro="">
          <xdr:nvGraphicFramePr>
            <xdr:cNvPr id="18" name="Discount 1"/>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11323320" y="2148841"/>
              <a:ext cx="1638300" cy="1927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83820</xdr:colOff>
      <xdr:row>30</xdr:row>
      <xdr:rowOff>167640</xdr:rowOff>
    </xdr:from>
    <xdr:to>
      <xdr:col>13</xdr:col>
      <xdr:colOff>17928</xdr:colOff>
      <xdr:row>45</xdr:row>
      <xdr:rowOff>151504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31</xdr:row>
      <xdr:rowOff>0</xdr:rowOff>
    </xdr:from>
    <xdr:to>
      <xdr:col>17</xdr:col>
      <xdr:colOff>7620</xdr:colOff>
      <xdr:row>45</xdr:row>
      <xdr:rowOff>167640</xdr:rowOff>
    </xdr:to>
    <mc:AlternateContent xmlns:mc="http://schemas.openxmlformats.org/markup-compatibility/2006">
      <mc:Choice xmlns:a14="http://schemas.microsoft.com/office/drawing/2010/main" Requires="a14">
        <xdr:graphicFrame macro="">
          <xdr:nvGraphicFramePr>
            <xdr:cNvPr id="14" name="Profit 1"/>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dr:sp macro="" textlink="">
          <xdr:nvSpPr>
            <xdr:cNvPr id="0" name=""/>
            <xdr:cNvSpPr>
              <a:spLocks noTextEdit="1"/>
            </xdr:cNvSpPr>
          </xdr:nvSpPr>
          <xdr:spPr>
            <a:xfrm>
              <a:off x="8534400" y="5669280"/>
              <a:ext cx="1836420" cy="2727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860612</xdr:colOff>
      <xdr:row>2</xdr:row>
      <xdr:rowOff>13447</xdr:rowOff>
    </xdr:from>
    <xdr:to>
      <xdr:col>9</xdr:col>
      <xdr:colOff>591670</xdr:colOff>
      <xdr:row>16</xdr:row>
      <xdr:rowOff>170329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600635</xdr:colOff>
      <xdr:row>1</xdr:row>
      <xdr:rowOff>156883</xdr:rowOff>
    </xdr:from>
    <xdr:to>
      <xdr:col>22</xdr:col>
      <xdr:colOff>8963</xdr:colOff>
      <xdr:row>17</xdr:row>
      <xdr:rowOff>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573740</xdr:colOff>
      <xdr:row>19</xdr:row>
      <xdr:rowOff>4483</xdr:rowOff>
    </xdr:from>
    <xdr:to>
      <xdr:col>14</xdr:col>
      <xdr:colOff>0</xdr:colOff>
      <xdr:row>33</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7172</xdr:colOff>
      <xdr:row>2</xdr:row>
      <xdr:rowOff>12103</xdr:rowOff>
    </xdr:from>
    <xdr:to>
      <xdr:col>14</xdr:col>
      <xdr:colOff>7172</xdr:colOff>
      <xdr:row>15</xdr:row>
      <xdr:rowOff>148254</xdr:rowOff>
    </xdr:to>
    <mc:AlternateContent xmlns:mc="http://schemas.openxmlformats.org/markup-compatibility/2006" xmlns:a14="http://schemas.microsoft.com/office/drawing/2010/main">
      <mc:Choice Requires="a14">
        <xdr:graphicFrame macro="">
          <xdr:nvGraphicFramePr>
            <xdr:cNvPr id="5" name="Quantity"/>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7770607" y="37069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864646</xdr:colOff>
      <xdr:row>19</xdr:row>
      <xdr:rowOff>17930</xdr:rowOff>
    </xdr:from>
    <xdr:to>
      <xdr:col>5</xdr:col>
      <xdr:colOff>604670</xdr:colOff>
      <xdr:row>32</xdr:row>
      <xdr:rowOff>154081</xdr:rowOff>
    </xdr:to>
    <mc:AlternateContent xmlns:mc="http://schemas.openxmlformats.org/markup-compatibility/2006" xmlns:a14="http://schemas.microsoft.com/office/drawing/2010/main">
      <mc:Choice Requires="a14">
        <xdr:graphicFrame macro="">
          <xdr:nvGraphicFramePr>
            <xdr:cNvPr id="6" name="Discount"/>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2881705" y="342451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272975</xdr:colOff>
      <xdr:row>2</xdr:row>
      <xdr:rowOff>17929</xdr:rowOff>
    </xdr:from>
    <xdr:to>
      <xdr:col>25</xdr:col>
      <xdr:colOff>272975</xdr:colOff>
      <xdr:row>15</xdr:row>
      <xdr:rowOff>154080</xdr:rowOff>
    </xdr:to>
    <mc:AlternateContent xmlns:mc="http://schemas.openxmlformats.org/markup-compatibility/2006" xmlns:a14="http://schemas.microsoft.com/office/drawing/2010/main">
      <mc:Choice Requires="a14">
        <xdr:graphicFrame macro="">
          <xdr:nvGraphicFramePr>
            <xdr:cNvPr id="8" name="Profit"/>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4742010" y="37651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10.636028587964" createdVersion="6" refreshedVersion="6" minRefreshableVersion="3" recordCount="200">
  <cacheSource type="worksheet">
    <worksheetSource ref="A1:I201" sheet="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ount="19">
        <n v="4"/>
        <n v="3"/>
        <n v="17"/>
        <n v="12"/>
        <n v="8"/>
        <n v="6"/>
        <n v="11"/>
        <n v="2"/>
        <n v="14"/>
        <n v="7"/>
        <n v="15"/>
        <n v="10"/>
        <n v="13"/>
        <n v="9"/>
        <n v="18"/>
        <n v="19"/>
        <n v="5"/>
        <n v="1"/>
        <n v="16"/>
      </sharedItems>
    </cacheField>
    <cacheField name="Discount" numFmtId="0">
      <sharedItems containsSemiMixedTypes="0" containsString="0" containsNumber="1" minValue="0" maxValue="0.2" count="5">
        <n v="0.2"/>
        <n v="0"/>
        <n v="0.15"/>
        <n v="0.1"/>
        <n v="0.05"/>
      </sharedItems>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CUST019"/>
    <s v="James Davis"/>
    <x v="0"/>
    <x v="0"/>
    <n v="1036.0899999999999"/>
    <x v="0"/>
    <x v="0"/>
    <d v="2024-04-10T00:00:00"/>
    <x v="0"/>
  </r>
  <r>
    <s v="CUST012"/>
    <s v="Robert Anderson"/>
    <x v="0"/>
    <x v="1"/>
    <n v="1101.28"/>
    <x v="1"/>
    <x v="0"/>
    <d v="2024-04-11T00:00:00"/>
    <x v="1"/>
  </r>
  <r>
    <s v="CUST017"/>
    <s v="James Taylor"/>
    <x v="1"/>
    <x v="0"/>
    <n v="713.34"/>
    <x v="2"/>
    <x v="1"/>
    <d v="2024-04-14T00:00:00"/>
    <x v="2"/>
  </r>
  <r>
    <s v="CUST005"/>
    <s v="Robert Anderson"/>
    <x v="2"/>
    <x v="2"/>
    <n v="760.93"/>
    <x v="0"/>
    <x v="2"/>
    <d v="2024-04-14T00:00:00"/>
    <x v="3"/>
  </r>
  <r>
    <s v="CUST030"/>
    <s v="James Wilson"/>
    <x v="3"/>
    <x v="0"/>
    <n v="847"/>
    <x v="3"/>
    <x v="0"/>
    <d v="2024-04-15T00:00:00"/>
    <x v="4"/>
  </r>
  <r>
    <s v="CUST007"/>
    <s v="Michael Anderson"/>
    <x v="3"/>
    <x v="3"/>
    <n v="965.64"/>
    <x v="4"/>
    <x v="3"/>
    <d v="2024-04-16T00:00:00"/>
    <x v="5"/>
  </r>
  <r>
    <s v="CUST001"/>
    <s v="Linda Wilson"/>
    <x v="0"/>
    <x v="2"/>
    <n v="1317.53"/>
    <x v="3"/>
    <x v="4"/>
    <d v="2024-04-16T00:00:00"/>
    <x v="6"/>
  </r>
  <r>
    <s v="CUST026"/>
    <s v="Mary Davis"/>
    <x v="1"/>
    <x v="3"/>
    <n v="1074.47"/>
    <x v="5"/>
    <x v="0"/>
    <d v="2024-04-19T00:00:00"/>
    <x v="7"/>
  </r>
  <r>
    <s v="CUST009"/>
    <s v="Linda Jackson"/>
    <x v="4"/>
    <x v="0"/>
    <n v="501.54"/>
    <x v="6"/>
    <x v="4"/>
    <d v="2024-04-19T00:00:00"/>
    <x v="8"/>
  </r>
  <r>
    <s v="CUST010"/>
    <s v="David Thomas"/>
    <x v="4"/>
    <x v="1"/>
    <n v="737.31"/>
    <x v="7"/>
    <x v="4"/>
    <d v="2024-04-19T00:00:00"/>
    <x v="9"/>
  </r>
  <r>
    <s v="CUST014"/>
    <s v="Emma Davis"/>
    <x v="0"/>
    <x v="4"/>
    <n v="1572.82"/>
    <x v="5"/>
    <x v="4"/>
    <d v="2024-04-20T00:00:00"/>
    <x v="10"/>
  </r>
  <r>
    <s v="CUST014"/>
    <s v="David Thomas"/>
    <x v="4"/>
    <x v="0"/>
    <n v="1343.13"/>
    <x v="8"/>
    <x v="2"/>
    <d v="2024-04-22T00:00:00"/>
    <x v="11"/>
  </r>
  <r>
    <s v="CUST007"/>
    <s v="Michael Anderson"/>
    <x v="4"/>
    <x v="0"/>
    <n v="1191.58"/>
    <x v="8"/>
    <x v="4"/>
    <d v="2024-04-24T00:00:00"/>
    <x v="12"/>
  </r>
  <r>
    <s v="CUST023"/>
    <s v="Robert Anderson"/>
    <x v="0"/>
    <x v="3"/>
    <n v="822.28"/>
    <x v="9"/>
    <x v="4"/>
    <d v="2024-04-24T00:00:00"/>
    <x v="13"/>
  </r>
  <r>
    <s v="CUST029"/>
    <s v="David Smith"/>
    <x v="3"/>
    <x v="3"/>
    <n v="521.66999999999996"/>
    <x v="10"/>
    <x v="2"/>
    <d v="2024-04-27T00:00:00"/>
    <x v="14"/>
  </r>
  <r>
    <s v="CUST005"/>
    <s v="Sarah Anderson"/>
    <x v="2"/>
    <x v="2"/>
    <n v="1502.93"/>
    <x v="8"/>
    <x v="0"/>
    <d v="2024-04-28T00:00:00"/>
    <x v="15"/>
  </r>
  <r>
    <s v="CUST008"/>
    <s v="Robert Anderson"/>
    <x v="2"/>
    <x v="0"/>
    <n v="877.58"/>
    <x v="11"/>
    <x v="2"/>
    <d v="2024-04-29T00:00:00"/>
    <x v="16"/>
  </r>
  <r>
    <s v="CUST001"/>
    <s v="Lisa Thomas"/>
    <x v="0"/>
    <x v="0"/>
    <n v="636.70000000000005"/>
    <x v="0"/>
    <x v="0"/>
    <d v="2024-04-29T00:00:00"/>
    <x v="17"/>
  </r>
  <r>
    <s v="CUST006"/>
    <s v="Mary Jackson"/>
    <x v="0"/>
    <x v="0"/>
    <n v="1506.14"/>
    <x v="12"/>
    <x v="0"/>
    <d v="2024-04-30T00:00:00"/>
    <x v="18"/>
  </r>
  <r>
    <s v="CUST026"/>
    <s v="Mary Davis"/>
    <x v="4"/>
    <x v="2"/>
    <n v="645.02"/>
    <x v="0"/>
    <x v="1"/>
    <d v="2024-05-02T00:00:00"/>
    <x v="19"/>
  </r>
  <r>
    <s v="CUST007"/>
    <s v="Lisa Davis"/>
    <x v="2"/>
    <x v="1"/>
    <n v="953.3"/>
    <x v="6"/>
    <x v="1"/>
    <d v="2024-05-03T00:00:00"/>
    <x v="20"/>
  </r>
  <r>
    <s v="CUST022"/>
    <s v="Robert Anderson"/>
    <x v="3"/>
    <x v="2"/>
    <n v="388.56"/>
    <x v="8"/>
    <x v="2"/>
    <d v="2024-05-04T00:00:00"/>
    <x v="21"/>
  </r>
  <r>
    <s v="CUST019"/>
    <s v="Mary Davis"/>
    <x v="0"/>
    <x v="0"/>
    <n v="743.17"/>
    <x v="13"/>
    <x v="1"/>
    <d v="2024-05-04T00:00:00"/>
    <x v="22"/>
  </r>
  <r>
    <s v="CUST023"/>
    <s v="Mary Davis"/>
    <x v="4"/>
    <x v="2"/>
    <n v="706.37"/>
    <x v="5"/>
    <x v="1"/>
    <d v="2024-05-04T00:00:00"/>
    <x v="23"/>
  </r>
  <r>
    <s v="CUST012"/>
    <s v="Mary Davis"/>
    <x v="4"/>
    <x v="4"/>
    <n v="925.31"/>
    <x v="4"/>
    <x v="3"/>
    <d v="2024-05-06T00:00:00"/>
    <x v="24"/>
  </r>
  <r>
    <s v="CUST010"/>
    <s v="Linda Brown"/>
    <x v="2"/>
    <x v="2"/>
    <n v="1173.1199999999999"/>
    <x v="14"/>
    <x v="1"/>
    <d v="2024-05-06T00:00:00"/>
    <x v="25"/>
  </r>
  <r>
    <s v="CUST030"/>
    <s v="John Brown"/>
    <x v="3"/>
    <x v="3"/>
    <n v="675.54"/>
    <x v="2"/>
    <x v="1"/>
    <d v="2024-05-08T00:00:00"/>
    <x v="26"/>
  </r>
  <r>
    <s v="CUST007"/>
    <s v="Robert Anderson"/>
    <x v="4"/>
    <x v="0"/>
    <n v="939.09"/>
    <x v="7"/>
    <x v="4"/>
    <d v="2024-05-10T00:00:00"/>
    <x v="27"/>
  </r>
  <r>
    <s v="CUST028"/>
    <s v="Linda Taylor"/>
    <x v="1"/>
    <x v="4"/>
    <n v="983.34"/>
    <x v="15"/>
    <x v="3"/>
    <d v="2024-05-14T00:00:00"/>
    <x v="28"/>
  </r>
  <r>
    <s v="CUST028"/>
    <s v="James Wilson"/>
    <x v="2"/>
    <x v="2"/>
    <n v="801.21"/>
    <x v="1"/>
    <x v="0"/>
    <d v="2024-05-14T00:00:00"/>
    <x v="29"/>
  </r>
  <r>
    <s v="CUST025"/>
    <s v="David Brown"/>
    <x v="3"/>
    <x v="2"/>
    <n v="1450.71"/>
    <x v="16"/>
    <x v="3"/>
    <d v="2024-05-15T00:00:00"/>
    <x v="30"/>
  </r>
  <r>
    <s v="CUST022"/>
    <s v="David Davis"/>
    <x v="4"/>
    <x v="0"/>
    <n v="1023.21"/>
    <x v="14"/>
    <x v="4"/>
    <d v="2024-05-16T00:00:00"/>
    <x v="31"/>
  </r>
  <r>
    <s v="CUST001"/>
    <s v="Mary Jackson"/>
    <x v="0"/>
    <x v="3"/>
    <n v="853.72"/>
    <x v="16"/>
    <x v="2"/>
    <d v="2024-05-16T00:00:00"/>
    <x v="32"/>
  </r>
  <r>
    <s v="CUST021"/>
    <s v="Sarah Anderson"/>
    <x v="2"/>
    <x v="2"/>
    <n v="967.89"/>
    <x v="11"/>
    <x v="3"/>
    <d v="2024-05-17T00:00:00"/>
    <x v="33"/>
  </r>
  <r>
    <s v="CUST015"/>
    <s v="Linda Taylor"/>
    <x v="3"/>
    <x v="4"/>
    <n v="1200.9000000000001"/>
    <x v="8"/>
    <x v="4"/>
    <d v="2024-05-17T00:00:00"/>
    <x v="34"/>
  </r>
  <r>
    <s v="CUST012"/>
    <s v="Michael Anderson"/>
    <x v="0"/>
    <x v="0"/>
    <n v="472.38"/>
    <x v="3"/>
    <x v="0"/>
    <d v="2024-05-17T00:00:00"/>
    <x v="35"/>
  </r>
  <r>
    <s v="CUST019"/>
    <s v="David Brown"/>
    <x v="1"/>
    <x v="4"/>
    <n v="840.92"/>
    <x v="13"/>
    <x v="4"/>
    <d v="2024-05-17T00:00:00"/>
    <x v="36"/>
  </r>
  <r>
    <s v="CUST028"/>
    <s v="Lisa Davis"/>
    <x v="4"/>
    <x v="3"/>
    <n v="1410.06"/>
    <x v="6"/>
    <x v="4"/>
    <d v="2024-05-22T00:00:00"/>
    <x v="37"/>
  </r>
  <r>
    <s v="CUST008"/>
    <s v="Mary Wilson"/>
    <x v="4"/>
    <x v="3"/>
    <n v="773.09"/>
    <x v="12"/>
    <x v="2"/>
    <d v="2024-05-22T00:00:00"/>
    <x v="38"/>
  </r>
  <r>
    <s v="CUST016"/>
    <s v="Emma Wilson"/>
    <x v="1"/>
    <x v="0"/>
    <n v="580.42999999999995"/>
    <x v="15"/>
    <x v="2"/>
    <d v="2024-05-23T00:00:00"/>
    <x v="39"/>
  </r>
  <r>
    <s v="CUST005"/>
    <s v="David Smith"/>
    <x v="2"/>
    <x v="0"/>
    <n v="1151.21"/>
    <x v="10"/>
    <x v="3"/>
    <d v="2024-06-02T00:00:00"/>
    <x v="40"/>
  </r>
  <r>
    <s v="CUST028"/>
    <s v="James Wilson"/>
    <x v="4"/>
    <x v="4"/>
    <n v="1025.98"/>
    <x v="16"/>
    <x v="0"/>
    <d v="2024-06-04T00:00:00"/>
    <x v="41"/>
  </r>
  <r>
    <s v="CUST023"/>
    <s v="David Davis"/>
    <x v="1"/>
    <x v="4"/>
    <n v="556.41999999999996"/>
    <x v="6"/>
    <x v="2"/>
    <d v="2024-06-04T00:00:00"/>
    <x v="42"/>
  </r>
  <r>
    <s v="CUST021"/>
    <s v="James Wilson"/>
    <x v="4"/>
    <x v="0"/>
    <n v="840.85"/>
    <x v="15"/>
    <x v="3"/>
    <d v="2024-06-05T00:00:00"/>
    <x v="43"/>
  </r>
  <r>
    <s v="CUST026"/>
    <s v="Emma Wilson"/>
    <x v="3"/>
    <x v="3"/>
    <n v="1227.25"/>
    <x v="3"/>
    <x v="2"/>
    <d v="2024-06-05T00:00:00"/>
    <x v="44"/>
  </r>
  <r>
    <s v="CUST017"/>
    <s v="Linda Davis"/>
    <x v="4"/>
    <x v="2"/>
    <n v="856.7"/>
    <x v="7"/>
    <x v="1"/>
    <d v="2024-06-06T00:00:00"/>
    <x v="45"/>
  </r>
  <r>
    <s v="CUST025"/>
    <s v="David Davis"/>
    <x v="4"/>
    <x v="4"/>
    <n v="1225.42"/>
    <x v="4"/>
    <x v="2"/>
    <d v="2024-06-06T00:00:00"/>
    <x v="46"/>
  </r>
  <r>
    <s v="CUST011"/>
    <s v="Mary Davis"/>
    <x v="3"/>
    <x v="4"/>
    <n v="1001.57"/>
    <x v="3"/>
    <x v="1"/>
    <d v="2024-06-07T00:00:00"/>
    <x v="47"/>
  </r>
  <r>
    <s v="CUST021"/>
    <s v="Michael Anderson"/>
    <x v="1"/>
    <x v="3"/>
    <n v="1186.8499999999999"/>
    <x v="15"/>
    <x v="0"/>
    <d v="2024-06-08T00:00:00"/>
    <x v="48"/>
  </r>
  <r>
    <s v="CUST008"/>
    <s v="John Brown"/>
    <x v="2"/>
    <x v="2"/>
    <n v="775.45"/>
    <x v="5"/>
    <x v="3"/>
    <d v="2024-06-14T00:00:00"/>
    <x v="49"/>
  </r>
  <r>
    <s v="CUST007"/>
    <s v="Linda Jackson"/>
    <x v="2"/>
    <x v="2"/>
    <n v="1021.47"/>
    <x v="5"/>
    <x v="4"/>
    <d v="2024-06-18T00:00:00"/>
    <x v="50"/>
  </r>
  <r>
    <s v="CUST015"/>
    <s v="James Wilson"/>
    <x v="2"/>
    <x v="1"/>
    <n v="1226.6199999999999"/>
    <x v="9"/>
    <x v="3"/>
    <d v="2024-06-20T00:00:00"/>
    <x v="51"/>
  </r>
  <r>
    <s v="CUST030"/>
    <s v="Sarah Davis"/>
    <x v="2"/>
    <x v="3"/>
    <n v="1086.93"/>
    <x v="7"/>
    <x v="1"/>
    <d v="2024-06-21T00:00:00"/>
    <x v="52"/>
  </r>
  <r>
    <s v="CUST002"/>
    <s v="Lisa Davis"/>
    <x v="0"/>
    <x v="0"/>
    <n v="942.9"/>
    <x v="14"/>
    <x v="3"/>
    <d v="2024-06-23T00:00:00"/>
    <x v="53"/>
  </r>
  <r>
    <s v="CUST009"/>
    <s v="Emma Davis"/>
    <x v="3"/>
    <x v="2"/>
    <n v="818.8"/>
    <x v="10"/>
    <x v="2"/>
    <d v="2024-06-25T00:00:00"/>
    <x v="54"/>
  </r>
  <r>
    <s v="CUST005"/>
    <s v="Robert Anderson"/>
    <x v="2"/>
    <x v="3"/>
    <n v="919.04"/>
    <x v="11"/>
    <x v="0"/>
    <d v="2024-06-25T00:00:00"/>
    <x v="55"/>
  </r>
  <r>
    <s v="CUST030"/>
    <s v="Emma Taylor"/>
    <x v="4"/>
    <x v="0"/>
    <n v="973.26"/>
    <x v="6"/>
    <x v="1"/>
    <d v="2024-06-27T00:00:00"/>
    <x v="56"/>
  </r>
  <r>
    <s v="CUST029"/>
    <s v="Sarah Davis"/>
    <x v="3"/>
    <x v="2"/>
    <n v="741.61"/>
    <x v="17"/>
    <x v="0"/>
    <d v="2024-06-28T00:00:00"/>
    <x v="57"/>
  </r>
  <r>
    <s v="CUST003"/>
    <s v="Emma Davis"/>
    <x v="3"/>
    <x v="0"/>
    <n v="1248.82"/>
    <x v="7"/>
    <x v="3"/>
    <d v="2024-06-30T00:00:00"/>
    <x v="58"/>
  </r>
  <r>
    <s v="CUST012"/>
    <s v="Mary Wilson"/>
    <x v="0"/>
    <x v="1"/>
    <n v="1360.36"/>
    <x v="2"/>
    <x v="1"/>
    <d v="2024-06-30T00:00:00"/>
    <x v="59"/>
  </r>
  <r>
    <s v="CUST021"/>
    <s v="Mary Davis"/>
    <x v="1"/>
    <x v="0"/>
    <n v="1383.3"/>
    <x v="4"/>
    <x v="3"/>
    <d v="2024-07-05T00:00:00"/>
    <x v="60"/>
  </r>
  <r>
    <s v="CUST010"/>
    <s v="David Brown"/>
    <x v="4"/>
    <x v="4"/>
    <n v="488.99"/>
    <x v="13"/>
    <x v="1"/>
    <d v="2024-07-06T00:00:00"/>
    <x v="61"/>
  </r>
  <r>
    <s v="CUST026"/>
    <s v="Mary Davis"/>
    <x v="1"/>
    <x v="3"/>
    <n v="933.71"/>
    <x v="2"/>
    <x v="3"/>
    <d v="2024-07-08T00:00:00"/>
    <x v="62"/>
  </r>
  <r>
    <s v="CUST003"/>
    <s v="James Davis"/>
    <x v="0"/>
    <x v="2"/>
    <n v="1005.53"/>
    <x v="2"/>
    <x v="0"/>
    <d v="2024-07-08T00:00:00"/>
    <x v="63"/>
  </r>
  <r>
    <s v="CUST029"/>
    <s v="Emma Wilson"/>
    <x v="2"/>
    <x v="2"/>
    <n v="1100.0999999999999"/>
    <x v="16"/>
    <x v="4"/>
    <d v="2024-07-09T00:00:00"/>
    <x v="64"/>
  </r>
  <r>
    <s v="CUST003"/>
    <s v="James Wilson"/>
    <x v="3"/>
    <x v="3"/>
    <n v="1034.7"/>
    <x v="10"/>
    <x v="2"/>
    <d v="2024-07-14T00:00:00"/>
    <x v="65"/>
  </r>
  <r>
    <s v="CUST002"/>
    <s v="Mary Davis"/>
    <x v="2"/>
    <x v="0"/>
    <n v="876.44"/>
    <x v="3"/>
    <x v="4"/>
    <d v="2024-07-15T00:00:00"/>
    <x v="66"/>
  </r>
  <r>
    <s v="CUST020"/>
    <s v="David Brown"/>
    <x v="0"/>
    <x v="3"/>
    <n v="1371.34"/>
    <x v="16"/>
    <x v="4"/>
    <d v="2024-07-15T00:00:00"/>
    <x v="67"/>
  </r>
  <r>
    <s v="CUST021"/>
    <s v="Mary Jackson"/>
    <x v="3"/>
    <x v="2"/>
    <n v="1020.26"/>
    <x v="6"/>
    <x v="4"/>
    <d v="2024-07-21T00:00:00"/>
    <x v="68"/>
  </r>
  <r>
    <s v="CUST008"/>
    <s v="James Davis"/>
    <x v="4"/>
    <x v="4"/>
    <n v="804.81"/>
    <x v="17"/>
    <x v="4"/>
    <d v="2024-07-29T00:00:00"/>
    <x v="69"/>
  </r>
  <r>
    <s v="CUST030"/>
    <s v="David Brown"/>
    <x v="4"/>
    <x v="2"/>
    <n v="608.66"/>
    <x v="17"/>
    <x v="4"/>
    <d v="2024-07-30T00:00:00"/>
    <x v="70"/>
  </r>
  <r>
    <s v="CUST020"/>
    <s v="Linda Moore"/>
    <x v="2"/>
    <x v="4"/>
    <n v="981.2"/>
    <x v="15"/>
    <x v="1"/>
    <d v="2024-07-31T00:00:00"/>
    <x v="71"/>
  </r>
  <r>
    <s v="CUST024"/>
    <s v="David Brown"/>
    <x v="1"/>
    <x v="2"/>
    <n v="539.77"/>
    <x v="11"/>
    <x v="2"/>
    <d v="2024-08-05T00:00:00"/>
    <x v="72"/>
  </r>
  <r>
    <s v="CUST012"/>
    <s v="David Anderson"/>
    <x v="2"/>
    <x v="0"/>
    <n v="804.45"/>
    <x v="16"/>
    <x v="0"/>
    <d v="2024-08-05T00:00:00"/>
    <x v="73"/>
  </r>
  <r>
    <s v="CUST024"/>
    <s v="Emma Davis"/>
    <x v="0"/>
    <x v="2"/>
    <n v="1526.6"/>
    <x v="12"/>
    <x v="0"/>
    <d v="2024-08-08T00:00:00"/>
    <x v="74"/>
  </r>
  <r>
    <s v="CUST012"/>
    <s v="Linda Wilson"/>
    <x v="0"/>
    <x v="2"/>
    <n v="1215.26"/>
    <x v="16"/>
    <x v="2"/>
    <d v="2024-08-09T00:00:00"/>
    <x v="75"/>
  </r>
  <r>
    <s v="CUST005"/>
    <s v="Linda Taylor"/>
    <x v="4"/>
    <x v="3"/>
    <n v="1261.3399999999999"/>
    <x v="1"/>
    <x v="1"/>
    <d v="2024-08-15T00:00:00"/>
    <x v="76"/>
  </r>
  <r>
    <s v="CUST004"/>
    <s v="Lisa Thomas"/>
    <x v="3"/>
    <x v="3"/>
    <n v="518.07000000000005"/>
    <x v="9"/>
    <x v="4"/>
    <d v="2024-08-18T00:00:00"/>
    <x v="77"/>
  </r>
  <r>
    <s v="CUST026"/>
    <s v="Linda Wilson"/>
    <x v="0"/>
    <x v="4"/>
    <n v="1111.3399999999999"/>
    <x v="17"/>
    <x v="1"/>
    <d v="2024-08-19T00:00:00"/>
    <x v="78"/>
  </r>
  <r>
    <s v="CUST030"/>
    <s v="Mary Davis"/>
    <x v="1"/>
    <x v="1"/>
    <n v="1291.47"/>
    <x v="14"/>
    <x v="3"/>
    <d v="2024-08-22T00:00:00"/>
    <x v="79"/>
  </r>
  <r>
    <s v="CUST007"/>
    <s v="David Brown"/>
    <x v="3"/>
    <x v="0"/>
    <n v="679.71"/>
    <x v="15"/>
    <x v="1"/>
    <d v="2024-08-30T00:00:00"/>
    <x v="80"/>
  </r>
  <r>
    <s v="CUST020"/>
    <s v="Linda Jackson"/>
    <x v="1"/>
    <x v="3"/>
    <n v="1143.69"/>
    <x v="2"/>
    <x v="1"/>
    <d v="2024-08-30T00:00:00"/>
    <x v="81"/>
  </r>
  <r>
    <s v="CUST028"/>
    <s v="Linda Brown"/>
    <x v="4"/>
    <x v="2"/>
    <n v="790.08"/>
    <x v="9"/>
    <x v="3"/>
    <d v="2024-09-01T00:00:00"/>
    <x v="82"/>
  </r>
  <r>
    <s v="CUST005"/>
    <s v="Lisa Davis"/>
    <x v="4"/>
    <x v="0"/>
    <n v="1070.68"/>
    <x v="9"/>
    <x v="4"/>
    <d v="2024-09-01T00:00:00"/>
    <x v="83"/>
  </r>
  <r>
    <s v="CUST015"/>
    <s v="David Thomas"/>
    <x v="0"/>
    <x v="1"/>
    <n v="1168.8900000000001"/>
    <x v="0"/>
    <x v="3"/>
    <d v="2024-09-09T00:00:00"/>
    <x v="84"/>
  </r>
  <r>
    <s v="CUST003"/>
    <s v="James Davis"/>
    <x v="2"/>
    <x v="2"/>
    <n v="1335.87"/>
    <x v="2"/>
    <x v="1"/>
    <d v="2024-09-09T00:00:00"/>
    <x v="85"/>
  </r>
  <r>
    <s v="CUST023"/>
    <s v="David Brown"/>
    <x v="1"/>
    <x v="3"/>
    <n v="873.7"/>
    <x v="13"/>
    <x v="1"/>
    <d v="2024-09-11T00:00:00"/>
    <x v="86"/>
  </r>
  <r>
    <s v="CUST004"/>
    <s v="Sarah Davis"/>
    <x v="0"/>
    <x v="4"/>
    <n v="1443.98"/>
    <x v="15"/>
    <x v="1"/>
    <d v="2024-09-12T00:00:00"/>
    <x v="87"/>
  </r>
  <r>
    <s v="CUST023"/>
    <s v="James Wilson"/>
    <x v="1"/>
    <x v="4"/>
    <n v="1154.33"/>
    <x v="6"/>
    <x v="2"/>
    <d v="2024-09-14T00:00:00"/>
    <x v="88"/>
  </r>
  <r>
    <s v="CUST022"/>
    <s v="Linda Brown"/>
    <x v="2"/>
    <x v="0"/>
    <n v="1264.49"/>
    <x v="18"/>
    <x v="4"/>
    <d v="2024-09-14T00:00:00"/>
    <x v="89"/>
  </r>
  <r>
    <s v="CUST007"/>
    <s v="Emma Taylor"/>
    <x v="0"/>
    <x v="3"/>
    <n v="1101.55"/>
    <x v="0"/>
    <x v="3"/>
    <d v="2024-09-16T00:00:00"/>
    <x v="90"/>
  </r>
  <r>
    <s v="CUST013"/>
    <s v="Robert Anderson"/>
    <x v="2"/>
    <x v="3"/>
    <n v="727.73"/>
    <x v="17"/>
    <x v="3"/>
    <d v="2024-09-17T00:00:00"/>
    <x v="91"/>
  </r>
  <r>
    <s v="CUST027"/>
    <s v="Emma Davis"/>
    <x v="1"/>
    <x v="4"/>
    <n v="875.41"/>
    <x v="12"/>
    <x v="2"/>
    <d v="2024-09-17T00:00:00"/>
    <x v="92"/>
  </r>
  <r>
    <s v="CUST003"/>
    <s v="James Wilson"/>
    <x v="0"/>
    <x v="2"/>
    <n v="1158.94"/>
    <x v="15"/>
    <x v="0"/>
    <d v="2024-09-18T00:00:00"/>
    <x v="93"/>
  </r>
  <r>
    <s v="CUST018"/>
    <s v="Mary Jackson"/>
    <x v="2"/>
    <x v="0"/>
    <n v="966.3"/>
    <x v="7"/>
    <x v="2"/>
    <d v="2024-09-22T00:00:00"/>
    <x v="94"/>
  </r>
  <r>
    <s v="CUST020"/>
    <s v="James Taylor"/>
    <x v="2"/>
    <x v="0"/>
    <n v="917.48"/>
    <x v="5"/>
    <x v="1"/>
    <d v="2024-09-23T00:00:00"/>
    <x v="95"/>
  </r>
  <r>
    <s v="CUST029"/>
    <s v="Emma Wilson"/>
    <x v="0"/>
    <x v="3"/>
    <n v="1172.97"/>
    <x v="9"/>
    <x v="2"/>
    <d v="2024-09-24T00:00:00"/>
    <x v="96"/>
  </r>
  <r>
    <s v="CUST021"/>
    <s v="James Wilson"/>
    <x v="3"/>
    <x v="1"/>
    <n v="1205.82"/>
    <x v="6"/>
    <x v="3"/>
    <d v="2024-09-24T00:00:00"/>
    <x v="97"/>
  </r>
  <r>
    <s v="CUST017"/>
    <s v="Sarah Davis"/>
    <x v="0"/>
    <x v="4"/>
    <n v="826.93"/>
    <x v="11"/>
    <x v="0"/>
    <d v="2024-09-29T00:00:00"/>
    <x v="98"/>
  </r>
  <r>
    <s v="CUST003"/>
    <s v="James Wilson"/>
    <x v="4"/>
    <x v="1"/>
    <n v="902.19"/>
    <x v="3"/>
    <x v="1"/>
    <d v="2024-09-29T00:00:00"/>
    <x v="99"/>
  </r>
  <r>
    <s v="CUST027"/>
    <s v="Emma Davis"/>
    <x v="3"/>
    <x v="0"/>
    <n v="585.97"/>
    <x v="2"/>
    <x v="3"/>
    <d v="2024-09-30T00:00:00"/>
    <x v="100"/>
  </r>
  <r>
    <s v="CUST016"/>
    <s v="Michael Anderson"/>
    <x v="3"/>
    <x v="1"/>
    <n v="990.19"/>
    <x v="4"/>
    <x v="3"/>
    <d v="2024-09-30T00:00:00"/>
    <x v="101"/>
  </r>
  <r>
    <s v="CUST008"/>
    <s v="David Davis"/>
    <x v="4"/>
    <x v="2"/>
    <n v="1014.09"/>
    <x v="12"/>
    <x v="0"/>
    <d v="2024-10-02T00:00:00"/>
    <x v="102"/>
  </r>
  <r>
    <s v="CUST012"/>
    <s v="Lisa Davis"/>
    <x v="3"/>
    <x v="2"/>
    <n v="925.29"/>
    <x v="2"/>
    <x v="1"/>
    <d v="2024-10-05T00:00:00"/>
    <x v="103"/>
  </r>
  <r>
    <s v="CUST025"/>
    <s v="Mary Jackson"/>
    <x v="1"/>
    <x v="3"/>
    <n v="1286.54"/>
    <x v="4"/>
    <x v="1"/>
    <d v="2024-10-10T00:00:00"/>
    <x v="104"/>
  </r>
  <r>
    <s v="CUST014"/>
    <s v="Sarah Davis"/>
    <x v="2"/>
    <x v="0"/>
    <n v="961.62"/>
    <x v="4"/>
    <x v="0"/>
    <d v="2024-10-12T00:00:00"/>
    <x v="105"/>
  </r>
  <r>
    <s v="CUST008"/>
    <s v="James Wilson"/>
    <x v="1"/>
    <x v="0"/>
    <n v="1081.1400000000001"/>
    <x v="15"/>
    <x v="2"/>
    <d v="2024-10-12T00:00:00"/>
    <x v="106"/>
  </r>
  <r>
    <s v="CUST015"/>
    <s v="James Wilson"/>
    <x v="0"/>
    <x v="1"/>
    <n v="1923.66"/>
    <x v="13"/>
    <x v="0"/>
    <d v="2024-10-15T00:00:00"/>
    <x v="107"/>
  </r>
  <r>
    <s v="CUST025"/>
    <s v="Emma Taylor"/>
    <x v="4"/>
    <x v="1"/>
    <n v="728.71"/>
    <x v="8"/>
    <x v="3"/>
    <d v="2024-10-16T00:00:00"/>
    <x v="108"/>
  </r>
  <r>
    <s v="CUST019"/>
    <s v="Linda Jackson"/>
    <x v="4"/>
    <x v="1"/>
    <n v="1301.8900000000001"/>
    <x v="9"/>
    <x v="2"/>
    <d v="2024-10-16T00:00:00"/>
    <x v="109"/>
  </r>
  <r>
    <s v="CUST024"/>
    <s v="Emma Taylor"/>
    <x v="1"/>
    <x v="0"/>
    <n v="980.18"/>
    <x v="18"/>
    <x v="3"/>
    <d v="2024-10-17T00:00:00"/>
    <x v="110"/>
  </r>
  <r>
    <s v="CUST027"/>
    <s v="James Wilson"/>
    <x v="0"/>
    <x v="1"/>
    <n v="697.57"/>
    <x v="2"/>
    <x v="3"/>
    <d v="2024-10-19T00:00:00"/>
    <x v="111"/>
  </r>
  <r>
    <s v="CUST006"/>
    <s v="David Anderson"/>
    <x v="0"/>
    <x v="3"/>
    <n v="1193.6099999999999"/>
    <x v="17"/>
    <x v="2"/>
    <d v="2024-10-19T00:00:00"/>
    <x v="112"/>
  </r>
  <r>
    <s v="CUST009"/>
    <s v="Emma Davis"/>
    <x v="2"/>
    <x v="2"/>
    <n v="771.02"/>
    <x v="17"/>
    <x v="1"/>
    <d v="2024-10-20T00:00:00"/>
    <x v="113"/>
  </r>
  <r>
    <s v="CUST003"/>
    <s v="Linda Moore"/>
    <x v="3"/>
    <x v="1"/>
    <n v="661.09"/>
    <x v="17"/>
    <x v="0"/>
    <d v="2024-10-28T00:00:00"/>
    <x v="114"/>
  </r>
  <r>
    <s v="CUST012"/>
    <s v="David Brown"/>
    <x v="0"/>
    <x v="2"/>
    <n v="688.83"/>
    <x v="10"/>
    <x v="1"/>
    <d v="2024-10-30T00:00:00"/>
    <x v="115"/>
  </r>
  <r>
    <s v="CUST013"/>
    <s v="Linda Wilson"/>
    <x v="4"/>
    <x v="0"/>
    <n v="1249.0999999999999"/>
    <x v="0"/>
    <x v="4"/>
    <d v="2024-11-01T00:00:00"/>
    <x v="116"/>
  </r>
  <r>
    <s v="CUST008"/>
    <s v="James Wilson"/>
    <x v="1"/>
    <x v="4"/>
    <n v="1014.22"/>
    <x v="8"/>
    <x v="4"/>
    <d v="2024-11-03T00:00:00"/>
    <x v="117"/>
  </r>
  <r>
    <s v="CUST025"/>
    <s v="Lisa Davis"/>
    <x v="1"/>
    <x v="0"/>
    <n v="1010.58"/>
    <x v="7"/>
    <x v="2"/>
    <d v="2024-11-09T00:00:00"/>
    <x v="118"/>
  </r>
  <r>
    <s v="CUST026"/>
    <s v="Mary Wilson"/>
    <x v="3"/>
    <x v="3"/>
    <n v="957.29"/>
    <x v="0"/>
    <x v="4"/>
    <d v="2024-11-09T00:00:00"/>
    <x v="119"/>
  </r>
  <r>
    <s v="CUST001"/>
    <s v="Lisa Thomas"/>
    <x v="3"/>
    <x v="3"/>
    <n v="1077.92"/>
    <x v="1"/>
    <x v="4"/>
    <d v="2024-11-12T00:00:00"/>
    <x v="120"/>
  </r>
  <r>
    <s v="CUST028"/>
    <s v="Linda Brown"/>
    <x v="2"/>
    <x v="1"/>
    <n v="1163.01"/>
    <x v="16"/>
    <x v="1"/>
    <d v="2024-11-15T00:00:00"/>
    <x v="121"/>
  </r>
  <r>
    <s v="CUST025"/>
    <s v="Lisa Thomas"/>
    <x v="1"/>
    <x v="4"/>
    <n v="1014.56"/>
    <x v="11"/>
    <x v="3"/>
    <d v="2024-11-16T00:00:00"/>
    <x v="122"/>
  </r>
  <r>
    <s v="CUST019"/>
    <s v="James Taylor"/>
    <x v="2"/>
    <x v="2"/>
    <n v="718.04"/>
    <x v="8"/>
    <x v="1"/>
    <d v="2024-11-17T00:00:00"/>
    <x v="123"/>
  </r>
  <r>
    <s v="CUST004"/>
    <s v="James Taylor"/>
    <x v="4"/>
    <x v="1"/>
    <n v="1277.8499999999999"/>
    <x v="14"/>
    <x v="0"/>
    <d v="2024-11-17T00:00:00"/>
    <x v="124"/>
  </r>
  <r>
    <s v="CUST024"/>
    <s v="James Wilson"/>
    <x v="3"/>
    <x v="2"/>
    <n v="706.73"/>
    <x v="17"/>
    <x v="2"/>
    <d v="2024-11-17T00:00:00"/>
    <x v="125"/>
  </r>
  <r>
    <s v="CUST002"/>
    <s v="Linda Brown"/>
    <x v="1"/>
    <x v="2"/>
    <n v="1410.59"/>
    <x v="10"/>
    <x v="1"/>
    <d v="2024-11-19T00:00:00"/>
    <x v="126"/>
  </r>
  <r>
    <s v="CUST009"/>
    <s v="Emma Wilson"/>
    <x v="2"/>
    <x v="3"/>
    <n v="1350.33"/>
    <x v="11"/>
    <x v="1"/>
    <d v="2024-11-19T00:00:00"/>
    <x v="127"/>
  </r>
  <r>
    <s v="CUST029"/>
    <s v="Lisa Thomas"/>
    <x v="1"/>
    <x v="2"/>
    <n v="919.18"/>
    <x v="0"/>
    <x v="2"/>
    <d v="2024-11-19T00:00:00"/>
    <x v="128"/>
  </r>
  <r>
    <s v="CUST027"/>
    <s v="James Wilson"/>
    <x v="0"/>
    <x v="2"/>
    <n v="258.51"/>
    <x v="15"/>
    <x v="1"/>
    <d v="2024-11-20T00:00:00"/>
    <x v="129"/>
  </r>
  <r>
    <s v="CUST011"/>
    <s v="Emma Wilson"/>
    <x v="1"/>
    <x v="0"/>
    <n v="1213.48"/>
    <x v="16"/>
    <x v="4"/>
    <d v="2024-11-20T00:00:00"/>
    <x v="130"/>
  </r>
  <r>
    <s v="CUST021"/>
    <s v="Emma Davis"/>
    <x v="4"/>
    <x v="0"/>
    <n v="1150.28"/>
    <x v="4"/>
    <x v="4"/>
    <d v="2024-11-26T00:00:00"/>
    <x v="131"/>
  </r>
  <r>
    <s v="CUST014"/>
    <s v="David Anderson"/>
    <x v="2"/>
    <x v="3"/>
    <n v="853.86"/>
    <x v="4"/>
    <x v="3"/>
    <d v="2024-11-26T00:00:00"/>
    <x v="132"/>
  </r>
  <r>
    <s v="CUST018"/>
    <s v="Lisa Thomas"/>
    <x v="2"/>
    <x v="2"/>
    <n v="1061.04"/>
    <x v="17"/>
    <x v="1"/>
    <d v="2024-11-28T00:00:00"/>
    <x v="133"/>
  </r>
  <r>
    <s v="CUST001"/>
    <s v="Sarah Anderson"/>
    <x v="0"/>
    <x v="2"/>
    <n v="894.55"/>
    <x v="15"/>
    <x v="0"/>
    <d v="2024-11-29T00:00:00"/>
    <x v="134"/>
  </r>
  <r>
    <s v="CUST007"/>
    <s v="Emma Davis"/>
    <x v="3"/>
    <x v="4"/>
    <n v="833.91"/>
    <x v="1"/>
    <x v="4"/>
    <d v="2024-11-30T00:00:00"/>
    <x v="135"/>
  </r>
  <r>
    <s v="CUST015"/>
    <s v="David Anderson"/>
    <x v="0"/>
    <x v="3"/>
    <n v="820.19"/>
    <x v="0"/>
    <x v="0"/>
    <d v="2024-12-04T00:00:00"/>
    <x v="136"/>
  </r>
  <r>
    <s v="CUST015"/>
    <s v="Emma Davis"/>
    <x v="4"/>
    <x v="2"/>
    <n v="511.74"/>
    <x v="4"/>
    <x v="4"/>
    <d v="2024-12-05T00:00:00"/>
    <x v="137"/>
  </r>
  <r>
    <s v="CUST002"/>
    <s v="Emma Wilson"/>
    <x v="2"/>
    <x v="3"/>
    <n v="806.03"/>
    <x v="15"/>
    <x v="4"/>
    <d v="2024-12-12T00:00:00"/>
    <x v="138"/>
  </r>
  <r>
    <s v="CUST001"/>
    <s v="Michael Anderson"/>
    <x v="4"/>
    <x v="3"/>
    <n v="1432.47"/>
    <x v="18"/>
    <x v="2"/>
    <d v="2024-12-14T00:00:00"/>
    <x v="139"/>
  </r>
  <r>
    <s v="CUST027"/>
    <s v="Linda Wilson"/>
    <x v="4"/>
    <x v="2"/>
    <n v="1488.58"/>
    <x v="11"/>
    <x v="2"/>
    <d v="2024-12-14T00:00:00"/>
    <x v="140"/>
  </r>
  <r>
    <s v="CUST026"/>
    <s v="Emma Taylor"/>
    <x v="1"/>
    <x v="0"/>
    <n v="1231.26"/>
    <x v="13"/>
    <x v="1"/>
    <d v="2024-12-20T00:00:00"/>
    <x v="141"/>
  </r>
  <r>
    <s v="CUST026"/>
    <s v="Sarah Anderson"/>
    <x v="0"/>
    <x v="2"/>
    <n v="1161.67"/>
    <x v="15"/>
    <x v="0"/>
    <d v="2024-12-21T00:00:00"/>
    <x v="142"/>
  </r>
  <r>
    <s v="CUST022"/>
    <s v="Lisa Thomas"/>
    <x v="4"/>
    <x v="4"/>
    <n v="388.23"/>
    <x v="18"/>
    <x v="4"/>
    <d v="2024-12-24T00:00:00"/>
    <x v="143"/>
  </r>
  <r>
    <s v="CUST004"/>
    <s v="Mary Davis"/>
    <x v="3"/>
    <x v="1"/>
    <n v="1589.42"/>
    <x v="5"/>
    <x v="2"/>
    <d v="2024-12-25T00:00:00"/>
    <x v="144"/>
  </r>
  <r>
    <s v="CUST001"/>
    <s v="David Anderson"/>
    <x v="3"/>
    <x v="1"/>
    <n v="336.66"/>
    <x v="12"/>
    <x v="0"/>
    <d v="2024-12-25T00:00:00"/>
    <x v="145"/>
  </r>
  <r>
    <s v="CUST022"/>
    <s v="James Wilson"/>
    <x v="0"/>
    <x v="0"/>
    <n v="1353.79"/>
    <x v="8"/>
    <x v="3"/>
    <d v="2024-12-30T00:00:00"/>
    <x v="146"/>
  </r>
  <r>
    <s v="CUST011"/>
    <s v="Linda Moore"/>
    <x v="4"/>
    <x v="1"/>
    <n v="662.61"/>
    <x v="6"/>
    <x v="4"/>
    <d v="2025-01-01T00:00:00"/>
    <x v="147"/>
  </r>
  <r>
    <s v="CUST028"/>
    <s v="Lisa Davis"/>
    <x v="3"/>
    <x v="4"/>
    <n v="309.42"/>
    <x v="17"/>
    <x v="0"/>
    <d v="2025-01-01T00:00:00"/>
    <x v="148"/>
  </r>
  <r>
    <s v="CUST011"/>
    <s v="Linda Wilson"/>
    <x v="3"/>
    <x v="0"/>
    <n v="884.63"/>
    <x v="14"/>
    <x v="3"/>
    <d v="2025-01-02T00:00:00"/>
    <x v="149"/>
  </r>
  <r>
    <s v="CUST028"/>
    <s v="James Wilson"/>
    <x v="4"/>
    <x v="4"/>
    <n v="745.05"/>
    <x v="11"/>
    <x v="3"/>
    <d v="2025-01-03T00:00:00"/>
    <x v="150"/>
  </r>
  <r>
    <s v="CUST016"/>
    <s v="James Taylor"/>
    <x v="2"/>
    <x v="1"/>
    <n v="870.23"/>
    <x v="16"/>
    <x v="4"/>
    <d v="2025-01-03T00:00:00"/>
    <x v="151"/>
  </r>
  <r>
    <s v="CUST010"/>
    <s v="Linda Wilson"/>
    <x v="0"/>
    <x v="3"/>
    <n v="862.19"/>
    <x v="14"/>
    <x v="4"/>
    <d v="2025-01-06T00:00:00"/>
    <x v="152"/>
  </r>
  <r>
    <s v="CUST013"/>
    <s v="Mary Wilson"/>
    <x v="3"/>
    <x v="1"/>
    <n v="1171.18"/>
    <x v="15"/>
    <x v="4"/>
    <d v="2025-01-10T00:00:00"/>
    <x v="153"/>
  </r>
  <r>
    <s v="CUST015"/>
    <s v="Robert Anderson"/>
    <x v="2"/>
    <x v="3"/>
    <n v="1054.56"/>
    <x v="6"/>
    <x v="3"/>
    <d v="2025-01-12T00:00:00"/>
    <x v="154"/>
  </r>
  <r>
    <s v="CUST015"/>
    <s v="James Wilson"/>
    <x v="3"/>
    <x v="2"/>
    <n v="1681.21"/>
    <x v="16"/>
    <x v="0"/>
    <d v="2025-01-13T00:00:00"/>
    <x v="155"/>
  </r>
  <r>
    <s v="CUST015"/>
    <s v="David Thomas"/>
    <x v="0"/>
    <x v="1"/>
    <n v="379.77"/>
    <x v="13"/>
    <x v="4"/>
    <d v="2025-01-16T00:00:00"/>
    <x v="156"/>
  </r>
  <r>
    <s v="CUST008"/>
    <s v="Lisa Thomas"/>
    <x v="4"/>
    <x v="1"/>
    <n v="1076.33"/>
    <x v="7"/>
    <x v="3"/>
    <d v="2025-01-17T00:00:00"/>
    <x v="157"/>
  </r>
  <r>
    <s v="CUST008"/>
    <s v="Mary Davis"/>
    <x v="4"/>
    <x v="4"/>
    <n v="1250.71"/>
    <x v="9"/>
    <x v="1"/>
    <d v="2025-01-17T00:00:00"/>
    <x v="158"/>
  </r>
  <r>
    <s v="CUST023"/>
    <s v="James Taylor"/>
    <x v="2"/>
    <x v="1"/>
    <n v="1118.3399999999999"/>
    <x v="5"/>
    <x v="0"/>
    <d v="2025-01-17T00:00:00"/>
    <x v="159"/>
  </r>
  <r>
    <s v="CUST024"/>
    <s v="Linda Taylor"/>
    <x v="3"/>
    <x v="1"/>
    <n v="1622.62"/>
    <x v="3"/>
    <x v="0"/>
    <d v="2025-01-20T00:00:00"/>
    <x v="160"/>
  </r>
  <r>
    <s v="CUST018"/>
    <s v="Lisa Davis"/>
    <x v="3"/>
    <x v="0"/>
    <n v="640.64"/>
    <x v="6"/>
    <x v="0"/>
    <d v="2025-01-21T00:00:00"/>
    <x v="161"/>
  </r>
  <r>
    <s v="CUST030"/>
    <s v="Sarah Anderson"/>
    <x v="0"/>
    <x v="1"/>
    <n v="585.16"/>
    <x v="2"/>
    <x v="3"/>
    <d v="2025-01-27T00:00:00"/>
    <x v="162"/>
  </r>
  <r>
    <s v="CUST030"/>
    <s v="Mary Davis"/>
    <x v="1"/>
    <x v="1"/>
    <n v="1109.98"/>
    <x v="16"/>
    <x v="0"/>
    <d v="2025-02-02T00:00:00"/>
    <x v="163"/>
  </r>
  <r>
    <s v="CUST015"/>
    <s v="Lisa Thomas"/>
    <x v="1"/>
    <x v="0"/>
    <n v="1098.08"/>
    <x v="13"/>
    <x v="3"/>
    <d v="2025-02-04T00:00:00"/>
    <x v="164"/>
  </r>
  <r>
    <s v="CUST002"/>
    <s v="Lisa Davis"/>
    <x v="0"/>
    <x v="4"/>
    <n v="827.25"/>
    <x v="9"/>
    <x v="3"/>
    <d v="2025-02-05T00:00:00"/>
    <x v="165"/>
  </r>
  <r>
    <s v="CUST024"/>
    <s v="Linda Wilson"/>
    <x v="4"/>
    <x v="1"/>
    <n v="741.88"/>
    <x v="18"/>
    <x v="3"/>
    <d v="2025-02-07T00:00:00"/>
    <x v="166"/>
  </r>
  <r>
    <s v="CUST004"/>
    <s v="James Davis"/>
    <x v="1"/>
    <x v="4"/>
    <n v="1311.26"/>
    <x v="5"/>
    <x v="3"/>
    <d v="2025-02-10T00:00:00"/>
    <x v="167"/>
  </r>
  <r>
    <s v="CUST004"/>
    <s v="Mary Davis"/>
    <x v="2"/>
    <x v="4"/>
    <n v="573.32000000000005"/>
    <x v="15"/>
    <x v="3"/>
    <d v="2025-02-15T00:00:00"/>
    <x v="168"/>
  </r>
  <r>
    <s v="CUST028"/>
    <s v="James Wilson"/>
    <x v="0"/>
    <x v="2"/>
    <n v="1115.22"/>
    <x v="8"/>
    <x v="0"/>
    <d v="2025-02-17T00:00:00"/>
    <x v="169"/>
  </r>
  <r>
    <s v="CUST012"/>
    <s v="Lisa Thomas"/>
    <x v="3"/>
    <x v="1"/>
    <n v="845.84"/>
    <x v="0"/>
    <x v="1"/>
    <d v="2025-02-19T00:00:00"/>
    <x v="170"/>
  </r>
  <r>
    <s v="CUST026"/>
    <s v="David Brown"/>
    <x v="0"/>
    <x v="2"/>
    <n v="1029.8"/>
    <x v="1"/>
    <x v="1"/>
    <d v="2025-02-20T00:00:00"/>
    <x v="171"/>
  </r>
  <r>
    <s v="CUST009"/>
    <s v="Mary Davis"/>
    <x v="3"/>
    <x v="0"/>
    <n v="1189.83"/>
    <x v="7"/>
    <x v="0"/>
    <d v="2025-02-21T00:00:00"/>
    <x v="172"/>
  </r>
  <r>
    <s v="CUST003"/>
    <s v="Sarah Anderson"/>
    <x v="2"/>
    <x v="0"/>
    <n v="704.28"/>
    <x v="10"/>
    <x v="0"/>
    <d v="2025-02-24T00:00:00"/>
    <x v="173"/>
  </r>
  <r>
    <s v="CUST002"/>
    <s v="Mary Jackson"/>
    <x v="4"/>
    <x v="4"/>
    <n v="1618.22"/>
    <x v="3"/>
    <x v="0"/>
    <d v="2025-02-24T00:00:00"/>
    <x v="174"/>
  </r>
  <r>
    <s v="CUST013"/>
    <s v="Linda Taylor"/>
    <x v="4"/>
    <x v="0"/>
    <n v="1014.43"/>
    <x v="7"/>
    <x v="2"/>
    <d v="2025-02-25T00:00:00"/>
    <x v="175"/>
  </r>
  <r>
    <s v="CUST018"/>
    <s v="Mary Davis"/>
    <x v="4"/>
    <x v="1"/>
    <n v="826.97"/>
    <x v="14"/>
    <x v="0"/>
    <d v="2025-02-27T00:00:00"/>
    <x v="176"/>
  </r>
  <r>
    <s v="CUST017"/>
    <s v="Mary Davis"/>
    <x v="4"/>
    <x v="1"/>
    <n v="1022.23"/>
    <x v="4"/>
    <x v="3"/>
    <d v="2025-03-01T00:00:00"/>
    <x v="177"/>
  </r>
  <r>
    <s v="CUST004"/>
    <s v="Linda Wilson"/>
    <x v="1"/>
    <x v="0"/>
    <n v="1099.69"/>
    <x v="5"/>
    <x v="1"/>
    <d v="2025-03-02T00:00:00"/>
    <x v="178"/>
  </r>
  <r>
    <s v="CUST028"/>
    <s v="Sarah Davis"/>
    <x v="3"/>
    <x v="0"/>
    <n v="710.52"/>
    <x v="4"/>
    <x v="3"/>
    <d v="2025-03-05T00:00:00"/>
    <x v="179"/>
  </r>
  <r>
    <s v="CUST028"/>
    <s v="Mary Wilson"/>
    <x v="3"/>
    <x v="0"/>
    <n v="499.18"/>
    <x v="10"/>
    <x v="0"/>
    <d v="2025-03-08T00:00:00"/>
    <x v="180"/>
  </r>
  <r>
    <s v="CUST014"/>
    <s v="Emma Davis"/>
    <x v="2"/>
    <x v="0"/>
    <n v="1064.19"/>
    <x v="14"/>
    <x v="4"/>
    <d v="2025-03-09T00:00:00"/>
    <x v="181"/>
  </r>
  <r>
    <s v="CUST003"/>
    <s v="Emma Davis"/>
    <x v="1"/>
    <x v="4"/>
    <n v="438.76"/>
    <x v="14"/>
    <x v="4"/>
    <d v="2025-03-10T00:00:00"/>
    <x v="182"/>
  </r>
  <r>
    <s v="CUST029"/>
    <s v="David Brown"/>
    <x v="0"/>
    <x v="1"/>
    <n v="864.98"/>
    <x v="7"/>
    <x v="4"/>
    <d v="2025-03-11T00:00:00"/>
    <x v="183"/>
  </r>
  <r>
    <s v="CUST021"/>
    <s v="David Brown"/>
    <x v="0"/>
    <x v="3"/>
    <n v="984.93"/>
    <x v="8"/>
    <x v="0"/>
    <d v="2025-03-17T00:00:00"/>
    <x v="184"/>
  </r>
  <r>
    <s v="CUST007"/>
    <s v="David Brown"/>
    <x v="0"/>
    <x v="1"/>
    <n v="1493.49"/>
    <x v="14"/>
    <x v="1"/>
    <d v="2025-03-18T00:00:00"/>
    <x v="185"/>
  </r>
  <r>
    <s v="CUST009"/>
    <s v="Linda Taylor"/>
    <x v="2"/>
    <x v="1"/>
    <n v="689.43"/>
    <x v="13"/>
    <x v="3"/>
    <d v="2025-03-20T00:00:00"/>
    <x v="186"/>
  </r>
  <r>
    <s v="CUST023"/>
    <s v="Mary Wilson"/>
    <x v="2"/>
    <x v="1"/>
    <n v="682.24"/>
    <x v="17"/>
    <x v="1"/>
    <d v="2025-03-22T00:00:00"/>
    <x v="187"/>
  </r>
  <r>
    <s v="CUST029"/>
    <s v="Michael Anderson"/>
    <x v="3"/>
    <x v="2"/>
    <n v="458.54"/>
    <x v="10"/>
    <x v="0"/>
    <d v="2025-03-25T00:00:00"/>
    <x v="188"/>
  </r>
  <r>
    <s v="CUST009"/>
    <s v="Michael Anderson"/>
    <x v="2"/>
    <x v="3"/>
    <n v="1184.25"/>
    <x v="6"/>
    <x v="0"/>
    <d v="2025-03-26T00:00:00"/>
    <x v="189"/>
  </r>
  <r>
    <s v="CUST007"/>
    <s v="James Davis"/>
    <x v="2"/>
    <x v="1"/>
    <n v="762.14"/>
    <x v="13"/>
    <x v="1"/>
    <d v="2025-03-27T00:00:00"/>
    <x v="190"/>
  </r>
  <r>
    <s v="CUST030"/>
    <s v="Linda Taylor"/>
    <x v="3"/>
    <x v="0"/>
    <n v="750.71"/>
    <x v="11"/>
    <x v="2"/>
    <d v="2025-03-27T00:00:00"/>
    <x v="191"/>
  </r>
  <r>
    <s v="CUST018"/>
    <s v="David Anderson"/>
    <x v="4"/>
    <x v="1"/>
    <n v="1456.94"/>
    <x v="8"/>
    <x v="4"/>
    <d v="2025-03-29T00:00:00"/>
    <x v="192"/>
  </r>
  <r>
    <s v="CUST008"/>
    <s v="Emma Wilson"/>
    <x v="1"/>
    <x v="3"/>
    <n v="1093.3800000000001"/>
    <x v="2"/>
    <x v="3"/>
    <d v="2025-03-29T00:00:00"/>
    <x v="193"/>
  </r>
  <r>
    <s v="CUST014"/>
    <s v="Sarah Anderson"/>
    <x v="0"/>
    <x v="1"/>
    <n v="934.27"/>
    <x v="4"/>
    <x v="2"/>
    <d v="2025-03-30T00:00:00"/>
    <x v="194"/>
  </r>
  <r>
    <s v="CUST024"/>
    <s v="David Thomas"/>
    <x v="4"/>
    <x v="1"/>
    <n v="1465.35"/>
    <x v="4"/>
    <x v="0"/>
    <d v="2025-03-30T00:00:00"/>
    <x v="195"/>
  </r>
  <r>
    <s v="CUST028"/>
    <s v="Robert Anderson"/>
    <x v="2"/>
    <x v="4"/>
    <n v="740.8"/>
    <x v="1"/>
    <x v="1"/>
    <d v="2025-04-02T00:00:00"/>
    <x v="196"/>
  </r>
  <r>
    <s v="CUST015"/>
    <s v="Sarah Anderson"/>
    <x v="0"/>
    <x v="4"/>
    <n v="545.44000000000005"/>
    <x v="2"/>
    <x v="1"/>
    <d v="2025-04-05T00:00:00"/>
    <x v="197"/>
  </r>
  <r>
    <s v="CUST010"/>
    <s v="David Thomas"/>
    <x v="1"/>
    <x v="0"/>
    <n v="997.61"/>
    <x v="4"/>
    <x v="4"/>
    <d v="2025-04-05T00:00:00"/>
    <x v="198"/>
  </r>
  <r>
    <s v="CUST016"/>
    <s v="David Thomas"/>
    <x v="2"/>
    <x v="1"/>
    <n v="928.32"/>
    <x v="7"/>
    <x v="4"/>
    <d v="2025-04-07T00:00:00"/>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A3:B9" firstHeaderRow="1" firstDataRow="1" firstDataCol="1"/>
  <pivotFields count="9">
    <pivotField showAll="0"/>
    <pivotField showAll="0"/>
    <pivotField axis="axisRow" showAll="0">
      <items count="6">
        <item x="4"/>
        <item x="1"/>
        <item x="3"/>
        <item x="2"/>
        <item x="0"/>
        <item t="default"/>
      </items>
    </pivotField>
    <pivotField axis="axisRow" showAll="0">
      <items count="6">
        <item x="0"/>
        <item x="1"/>
        <item x="2"/>
        <item x="3"/>
        <item x="4"/>
        <item t="default"/>
      </items>
    </pivotField>
    <pivotField dataField="1" showAll="0"/>
    <pivotField showAll="0">
      <items count="20">
        <item x="17"/>
        <item h="1" x="7"/>
        <item h="1" x="1"/>
        <item h="1" x="0"/>
        <item h="1" x="16"/>
        <item h="1" x="5"/>
        <item h="1" x="9"/>
        <item h="1" x="4"/>
        <item h="1" x="13"/>
        <item h="1" x="11"/>
        <item h="1" x="6"/>
        <item h="1" x="3"/>
        <item h="1" x="12"/>
        <item h="1" x="8"/>
        <item h="1" x="10"/>
        <item h="1" x="18"/>
        <item h="1" x="2"/>
        <item h="1" x="14"/>
        <item h="1" x="15"/>
        <item t="default"/>
      </items>
    </pivotField>
    <pivotField showAll="0">
      <items count="6">
        <item x="1"/>
        <item h="1" x="4"/>
        <item h="1" x="3"/>
        <item h="1" x="2"/>
        <item h="1" x="0"/>
        <item t="default"/>
      </items>
    </pivotField>
    <pivotField numFmtId="164" showAll="0"/>
    <pivotField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s>
  <rowFields count="2">
    <field x="2"/>
    <field x="3"/>
  </rowFields>
  <rowItems count="6">
    <i>
      <x v="3"/>
    </i>
    <i r="1">
      <x v="1"/>
    </i>
    <i r="1">
      <x v="2"/>
    </i>
    <i>
      <x v="4"/>
    </i>
    <i r="1">
      <x v="4"/>
    </i>
    <i t="grand">
      <x/>
    </i>
  </rowItems>
  <colItems count="1">
    <i/>
  </colItems>
  <dataFields count="1">
    <dataField name="Sum of Sales" fld="4" baseField="0" baseItem="0"/>
  </dataFields>
  <chartFormats count="5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3">
          <reference field="4294967294" count="1" selected="0">
            <x v="0"/>
          </reference>
          <reference field="2" count="1" selected="0">
            <x v="0"/>
          </reference>
          <reference field="3" count="1" selected="0">
            <x v="0"/>
          </reference>
        </references>
      </pivotArea>
    </chartFormat>
    <chartFormat chart="15" format="2">
      <pivotArea type="data" outline="0" fieldPosition="0">
        <references count="3">
          <reference field="4294967294" count="1" selected="0">
            <x v="0"/>
          </reference>
          <reference field="2" count="1" selected="0">
            <x v="0"/>
          </reference>
          <reference field="3" count="1" selected="0">
            <x v="1"/>
          </reference>
        </references>
      </pivotArea>
    </chartFormat>
    <chartFormat chart="15" format="3">
      <pivotArea type="data" outline="0" fieldPosition="0">
        <references count="3">
          <reference field="4294967294" count="1" selected="0">
            <x v="0"/>
          </reference>
          <reference field="2" count="1" selected="0">
            <x v="0"/>
          </reference>
          <reference field="3" count="1" selected="0">
            <x v="2"/>
          </reference>
        </references>
      </pivotArea>
    </chartFormat>
    <chartFormat chart="15" format="4">
      <pivotArea type="data" outline="0" fieldPosition="0">
        <references count="3">
          <reference field="4294967294" count="1" selected="0">
            <x v="0"/>
          </reference>
          <reference field="2" count="1" selected="0">
            <x v="0"/>
          </reference>
          <reference field="3" count="1" selected="0">
            <x v="3"/>
          </reference>
        </references>
      </pivotArea>
    </chartFormat>
    <chartFormat chart="15" format="5">
      <pivotArea type="data" outline="0" fieldPosition="0">
        <references count="3">
          <reference field="4294967294" count="1" selected="0">
            <x v="0"/>
          </reference>
          <reference field="2" count="1" selected="0">
            <x v="0"/>
          </reference>
          <reference field="3" count="1" selected="0">
            <x v="4"/>
          </reference>
        </references>
      </pivotArea>
    </chartFormat>
    <chartFormat chart="15" format="6">
      <pivotArea type="data" outline="0" fieldPosition="0">
        <references count="3">
          <reference field="4294967294" count="1" selected="0">
            <x v="0"/>
          </reference>
          <reference field="2" count="1" selected="0">
            <x v="1"/>
          </reference>
          <reference field="3" count="1" selected="0">
            <x v="0"/>
          </reference>
        </references>
      </pivotArea>
    </chartFormat>
    <chartFormat chart="15" format="7">
      <pivotArea type="data" outline="0" fieldPosition="0">
        <references count="3">
          <reference field="4294967294" count="1" selected="0">
            <x v="0"/>
          </reference>
          <reference field="2" count="1" selected="0">
            <x v="1"/>
          </reference>
          <reference field="3" count="1" selected="0">
            <x v="1"/>
          </reference>
        </references>
      </pivotArea>
    </chartFormat>
    <chartFormat chart="15" format="8">
      <pivotArea type="data" outline="0" fieldPosition="0">
        <references count="3">
          <reference field="4294967294" count="1" selected="0">
            <x v="0"/>
          </reference>
          <reference field="2" count="1" selected="0">
            <x v="1"/>
          </reference>
          <reference field="3" count="1" selected="0">
            <x v="2"/>
          </reference>
        </references>
      </pivotArea>
    </chartFormat>
    <chartFormat chart="15" format="9">
      <pivotArea type="data" outline="0" fieldPosition="0">
        <references count="3">
          <reference field="4294967294" count="1" selected="0">
            <x v="0"/>
          </reference>
          <reference field="2" count="1" selected="0">
            <x v="1"/>
          </reference>
          <reference field="3" count="1" selected="0">
            <x v="3"/>
          </reference>
        </references>
      </pivotArea>
    </chartFormat>
    <chartFormat chart="15" format="10">
      <pivotArea type="data" outline="0" fieldPosition="0">
        <references count="3">
          <reference field="4294967294" count="1" selected="0">
            <x v="0"/>
          </reference>
          <reference field="2" count="1" selected="0">
            <x v="1"/>
          </reference>
          <reference field="3" count="1" selected="0">
            <x v="4"/>
          </reference>
        </references>
      </pivotArea>
    </chartFormat>
    <chartFormat chart="15" format="11">
      <pivotArea type="data" outline="0" fieldPosition="0">
        <references count="3">
          <reference field="4294967294" count="1" selected="0">
            <x v="0"/>
          </reference>
          <reference field="2" count="1" selected="0">
            <x v="2"/>
          </reference>
          <reference field="3" count="1" selected="0">
            <x v="0"/>
          </reference>
        </references>
      </pivotArea>
    </chartFormat>
    <chartFormat chart="15" format="12">
      <pivotArea type="data" outline="0" fieldPosition="0">
        <references count="3">
          <reference field="4294967294" count="1" selected="0">
            <x v="0"/>
          </reference>
          <reference field="2" count="1" selected="0">
            <x v="2"/>
          </reference>
          <reference field="3" count="1" selected="0">
            <x v="1"/>
          </reference>
        </references>
      </pivotArea>
    </chartFormat>
    <chartFormat chart="15" format="13">
      <pivotArea type="data" outline="0" fieldPosition="0">
        <references count="3">
          <reference field="4294967294" count="1" selected="0">
            <x v="0"/>
          </reference>
          <reference field="2" count="1" selected="0">
            <x v="2"/>
          </reference>
          <reference field="3" count="1" selected="0">
            <x v="2"/>
          </reference>
        </references>
      </pivotArea>
    </chartFormat>
    <chartFormat chart="15" format="14">
      <pivotArea type="data" outline="0" fieldPosition="0">
        <references count="3">
          <reference field="4294967294" count="1" selected="0">
            <x v="0"/>
          </reference>
          <reference field="2" count="1" selected="0">
            <x v="2"/>
          </reference>
          <reference field="3" count="1" selected="0">
            <x v="3"/>
          </reference>
        </references>
      </pivotArea>
    </chartFormat>
    <chartFormat chart="15" format="15">
      <pivotArea type="data" outline="0" fieldPosition="0">
        <references count="3">
          <reference field="4294967294" count="1" selected="0">
            <x v="0"/>
          </reference>
          <reference field="2" count="1" selected="0">
            <x v="2"/>
          </reference>
          <reference field="3" count="1" selected="0">
            <x v="4"/>
          </reference>
        </references>
      </pivotArea>
    </chartFormat>
    <chartFormat chart="15" format="16">
      <pivotArea type="data" outline="0" fieldPosition="0">
        <references count="3">
          <reference field="4294967294" count="1" selected="0">
            <x v="0"/>
          </reference>
          <reference field="2" count="1" selected="0">
            <x v="3"/>
          </reference>
          <reference field="3" count="1" selected="0">
            <x v="0"/>
          </reference>
        </references>
      </pivotArea>
    </chartFormat>
    <chartFormat chart="15" format="17">
      <pivotArea type="data" outline="0" fieldPosition="0">
        <references count="3">
          <reference field="4294967294" count="1" selected="0">
            <x v="0"/>
          </reference>
          <reference field="2" count="1" selected="0">
            <x v="3"/>
          </reference>
          <reference field="3" count="1" selected="0">
            <x v="1"/>
          </reference>
        </references>
      </pivotArea>
    </chartFormat>
    <chartFormat chart="15" format="18">
      <pivotArea type="data" outline="0" fieldPosition="0">
        <references count="3">
          <reference field="4294967294" count="1" selected="0">
            <x v="0"/>
          </reference>
          <reference field="2" count="1" selected="0">
            <x v="3"/>
          </reference>
          <reference field="3" count="1" selected="0">
            <x v="2"/>
          </reference>
        </references>
      </pivotArea>
    </chartFormat>
    <chartFormat chart="15" format="19">
      <pivotArea type="data" outline="0" fieldPosition="0">
        <references count="3">
          <reference field="4294967294" count="1" selected="0">
            <x v="0"/>
          </reference>
          <reference field="2" count="1" selected="0">
            <x v="3"/>
          </reference>
          <reference field="3" count="1" selected="0">
            <x v="3"/>
          </reference>
        </references>
      </pivotArea>
    </chartFormat>
    <chartFormat chart="15" format="20">
      <pivotArea type="data" outline="0" fieldPosition="0">
        <references count="3">
          <reference field="4294967294" count="1" selected="0">
            <x v="0"/>
          </reference>
          <reference field="2" count="1" selected="0">
            <x v="3"/>
          </reference>
          <reference field="3" count="1" selected="0">
            <x v="4"/>
          </reference>
        </references>
      </pivotArea>
    </chartFormat>
    <chartFormat chart="15" format="21">
      <pivotArea type="data" outline="0" fieldPosition="0">
        <references count="3">
          <reference field="4294967294" count="1" selected="0">
            <x v="0"/>
          </reference>
          <reference field="2" count="1" selected="0">
            <x v="4"/>
          </reference>
          <reference field="3" count="1" selected="0">
            <x v="0"/>
          </reference>
        </references>
      </pivotArea>
    </chartFormat>
    <chartFormat chart="15" format="22">
      <pivotArea type="data" outline="0" fieldPosition="0">
        <references count="3">
          <reference field="4294967294" count="1" selected="0">
            <x v="0"/>
          </reference>
          <reference field="2" count="1" selected="0">
            <x v="4"/>
          </reference>
          <reference field="3" count="1" selected="0">
            <x v="1"/>
          </reference>
        </references>
      </pivotArea>
    </chartFormat>
    <chartFormat chart="15" format="23">
      <pivotArea type="data" outline="0" fieldPosition="0">
        <references count="3">
          <reference field="4294967294" count="1" selected="0">
            <x v="0"/>
          </reference>
          <reference field="2" count="1" selected="0">
            <x v="4"/>
          </reference>
          <reference field="3" count="1" selected="0">
            <x v="2"/>
          </reference>
        </references>
      </pivotArea>
    </chartFormat>
    <chartFormat chart="15" format="24">
      <pivotArea type="data" outline="0" fieldPosition="0">
        <references count="3">
          <reference field="4294967294" count="1" selected="0">
            <x v="0"/>
          </reference>
          <reference field="2" count="1" selected="0">
            <x v="4"/>
          </reference>
          <reference field="3" count="1" selected="0">
            <x v="3"/>
          </reference>
        </references>
      </pivotArea>
    </chartFormat>
    <chartFormat chart="15" format="25">
      <pivotArea type="data" outline="0" fieldPosition="0">
        <references count="3">
          <reference field="4294967294" count="1" selected="0">
            <x v="0"/>
          </reference>
          <reference field="2" count="1" selected="0">
            <x v="4"/>
          </reference>
          <reference field="3" count="1" selected="0">
            <x v="4"/>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37" series="1">
      <pivotArea type="data" outline="0" fieldPosition="0">
        <references count="1">
          <reference field="4294967294" count="1" selected="0">
            <x v="0"/>
          </reference>
        </references>
      </pivotArea>
    </chartFormat>
    <chartFormat chart="21" format="38">
      <pivotArea type="data" outline="0" fieldPosition="0">
        <references count="3">
          <reference field="4294967294" count="1" selected="0">
            <x v="0"/>
          </reference>
          <reference field="2" count="1" selected="0">
            <x v="0"/>
          </reference>
          <reference field="3" count="1" selected="0">
            <x v="2"/>
          </reference>
        </references>
      </pivotArea>
    </chartFormat>
    <chartFormat chart="21" format="39">
      <pivotArea type="data" outline="0" fieldPosition="0">
        <references count="3">
          <reference field="4294967294" count="1" selected="0">
            <x v="0"/>
          </reference>
          <reference field="2" count="1" selected="0">
            <x v="0"/>
          </reference>
          <reference field="3" count="1" selected="0">
            <x v="4"/>
          </reference>
        </references>
      </pivotArea>
    </chartFormat>
    <chartFormat chart="21" format="40">
      <pivotArea type="data" outline="0" fieldPosition="0">
        <references count="3">
          <reference field="4294967294" count="1" selected="0">
            <x v="0"/>
          </reference>
          <reference field="2" count="1" selected="0">
            <x v="2"/>
          </reference>
          <reference field="3" count="1" selected="0">
            <x v="1"/>
          </reference>
        </references>
      </pivotArea>
    </chartFormat>
    <chartFormat chart="21" format="41">
      <pivotArea type="data" outline="0" fieldPosition="0">
        <references count="3">
          <reference field="4294967294" count="1" selected="0">
            <x v="0"/>
          </reference>
          <reference field="2" count="1" selected="0">
            <x v="2"/>
          </reference>
          <reference field="3" count="1" selected="0">
            <x v="2"/>
          </reference>
        </references>
      </pivotArea>
    </chartFormat>
    <chartFormat chart="21" format="42">
      <pivotArea type="data" outline="0" fieldPosition="0">
        <references count="3">
          <reference field="4294967294" count="1" selected="0">
            <x v="0"/>
          </reference>
          <reference field="2" count="1" selected="0">
            <x v="2"/>
          </reference>
          <reference field="3" count="1" selected="0">
            <x v="4"/>
          </reference>
        </references>
      </pivotArea>
    </chartFormat>
    <chartFormat chart="21" format="43">
      <pivotArea type="data" outline="0" fieldPosition="0">
        <references count="3">
          <reference field="4294967294" count="1" selected="0">
            <x v="0"/>
          </reference>
          <reference field="2" count="1" selected="0">
            <x v="3"/>
          </reference>
          <reference field="3" count="1" selected="0">
            <x v="1"/>
          </reference>
        </references>
      </pivotArea>
    </chartFormat>
    <chartFormat chart="21" format="44">
      <pivotArea type="data" outline="0" fieldPosition="0">
        <references count="3">
          <reference field="4294967294" count="1" selected="0">
            <x v="0"/>
          </reference>
          <reference field="2" count="1" selected="0">
            <x v="3"/>
          </reference>
          <reference field="3" count="1" selected="0">
            <x v="2"/>
          </reference>
        </references>
      </pivotArea>
    </chartFormat>
    <chartFormat chart="21" format="45">
      <pivotArea type="data" outline="0" fieldPosition="0">
        <references count="3">
          <reference field="4294967294" count="1" selected="0">
            <x v="0"/>
          </reference>
          <reference field="2" count="1" selected="0">
            <x v="3"/>
          </reference>
          <reference field="3" count="1" selected="0">
            <x v="3"/>
          </reference>
        </references>
      </pivotArea>
    </chartFormat>
    <chartFormat chart="21" format="46">
      <pivotArea type="data" outline="0" fieldPosition="0">
        <references count="3">
          <reference field="4294967294" count="1" selected="0">
            <x v="0"/>
          </reference>
          <reference field="2" count="1" selected="0">
            <x v="4"/>
          </reference>
          <reference field="3" count="1" selected="0">
            <x v="3"/>
          </reference>
        </references>
      </pivotArea>
    </chartFormat>
    <chartFormat chart="21" format="47">
      <pivotArea type="data" outline="0" fieldPosition="0">
        <references count="3">
          <reference field="4294967294" count="1" selected="0">
            <x v="0"/>
          </reference>
          <reference field="2" count="1" selected="0">
            <x v="4"/>
          </reference>
          <reference field="3" count="1" selected="0">
            <x v="4"/>
          </reference>
        </references>
      </pivotArea>
    </chartFormat>
    <chartFormat chart="25" format="37" series="1">
      <pivotArea type="data" outline="0" fieldPosition="0">
        <references count="1">
          <reference field="4294967294" count="1" selected="0">
            <x v="0"/>
          </reference>
        </references>
      </pivotArea>
    </chartFormat>
    <chartFormat chart="25" format="38">
      <pivotArea type="data" outline="0" fieldPosition="0">
        <references count="3">
          <reference field="4294967294" count="1" selected="0">
            <x v="0"/>
          </reference>
          <reference field="2" count="1" selected="0">
            <x v="0"/>
          </reference>
          <reference field="3" count="1" selected="0">
            <x v="2"/>
          </reference>
        </references>
      </pivotArea>
    </chartFormat>
    <chartFormat chart="25" format="39">
      <pivotArea type="data" outline="0" fieldPosition="0">
        <references count="3">
          <reference field="4294967294" count="1" selected="0">
            <x v="0"/>
          </reference>
          <reference field="2" count="1" selected="0">
            <x v="0"/>
          </reference>
          <reference field="3" count="1" selected="0">
            <x v="4"/>
          </reference>
        </references>
      </pivotArea>
    </chartFormat>
    <chartFormat chart="25" format="40">
      <pivotArea type="data" outline="0" fieldPosition="0">
        <references count="3">
          <reference field="4294967294" count="1" selected="0">
            <x v="0"/>
          </reference>
          <reference field="2" count="1" selected="0">
            <x v="2"/>
          </reference>
          <reference field="3" count="1" selected="0">
            <x v="1"/>
          </reference>
        </references>
      </pivotArea>
    </chartFormat>
    <chartFormat chart="25" format="41">
      <pivotArea type="data" outline="0" fieldPosition="0">
        <references count="3">
          <reference field="4294967294" count="1" selected="0">
            <x v="0"/>
          </reference>
          <reference field="2" count="1" selected="0">
            <x v="2"/>
          </reference>
          <reference field="3" count="1" selected="0">
            <x v="2"/>
          </reference>
        </references>
      </pivotArea>
    </chartFormat>
    <chartFormat chart="25" format="42">
      <pivotArea type="data" outline="0" fieldPosition="0">
        <references count="3">
          <reference field="4294967294" count="1" selected="0">
            <x v="0"/>
          </reference>
          <reference field="2" count="1" selected="0">
            <x v="2"/>
          </reference>
          <reference field="3" count="1" selected="0">
            <x v="4"/>
          </reference>
        </references>
      </pivotArea>
    </chartFormat>
    <chartFormat chart="25" format="43">
      <pivotArea type="data" outline="0" fieldPosition="0">
        <references count="3">
          <reference field="4294967294" count="1" selected="0">
            <x v="0"/>
          </reference>
          <reference field="2" count="1" selected="0">
            <x v="3"/>
          </reference>
          <reference field="3" count="1" selected="0">
            <x v="1"/>
          </reference>
        </references>
      </pivotArea>
    </chartFormat>
    <chartFormat chart="25" format="44">
      <pivotArea type="data" outline="0" fieldPosition="0">
        <references count="3">
          <reference field="4294967294" count="1" selected="0">
            <x v="0"/>
          </reference>
          <reference field="2" count="1" selected="0">
            <x v="3"/>
          </reference>
          <reference field="3" count="1" selected="0">
            <x v="2"/>
          </reference>
        </references>
      </pivotArea>
    </chartFormat>
    <chartFormat chart="25" format="45">
      <pivotArea type="data" outline="0" fieldPosition="0">
        <references count="3">
          <reference field="4294967294" count="1" selected="0">
            <x v="0"/>
          </reference>
          <reference field="2" count="1" selected="0">
            <x v="3"/>
          </reference>
          <reference field="3" count="1" selected="0">
            <x v="3"/>
          </reference>
        </references>
      </pivotArea>
    </chartFormat>
    <chartFormat chart="25" format="46">
      <pivotArea type="data" outline="0" fieldPosition="0">
        <references count="3">
          <reference field="4294967294" count="1" selected="0">
            <x v="0"/>
          </reference>
          <reference field="2" count="1" selected="0">
            <x v="4"/>
          </reference>
          <reference field="3" count="1" selected="0">
            <x v="3"/>
          </reference>
        </references>
      </pivotArea>
    </chartFormat>
    <chartFormat chart="25" format="47">
      <pivotArea type="data" outline="0" fieldPosition="0">
        <references count="3">
          <reference field="4294967294" count="1" selected="0">
            <x v="0"/>
          </reference>
          <reference field="2" count="1" selected="0">
            <x v="4"/>
          </reference>
          <reference field="3" count="1" selected="0">
            <x v="4"/>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Quantity" sourceName="Quantity">
  <pivotTables>
    <pivotTable tabId="6" name="PivotTable2"/>
  </pivotTables>
  <data>
    <tabular pivotCacheId="1">
      <items count="19">
        <i x="17" s="1"/>
        <i x="7"/>
        <i x="1"/>
        <i x="0"/>
        <i x="16"/>
        <i x="5"/>
        <i x="9"/>
        <i x="4"/>
        <i x="13"/>
        <i x="11"/>
        <i x="6"/>
        <i x="3"/>
        <i x="8"/>
        <i x="10"/>
        <i x="2"/>
        <i x="14"/>
        <i x="15"/>
        <i x="12" nd="1"/>
        <i x="1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 sourceName="Discount">
  <pivotTables>
    <pivotTable tabId="6" name="PivotTable2"/>
  </pivotTables>
  <data>
    <tabular pivotCacheId="1">
      <items count="5">
        <i x="1" s="1"/>
        <i x="4"/>
        <i x="3"/>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fit" sourceName="Profit">
  <pivotTables>
    <pivotTable tabId="6" name="PivotTable2"/>
  </pivotTables>
  <data>
    <tabular pivotCacheId="1">
      <items count="200">
        <i x="113" s="1"/>
        <i x="133" s="1"/>
        <i x="187" s="1"/>
        <i x="78" s="1"/>
        <i x="129" s="1" nd="1"/>
        <i x="21" s="1" nd="1"/>
        <i x="188" s="1" nd="1"/>
        <i x="148" s="1" nd="1"/>
        <i x="72" s="1" nd="1"/>
        <i x="137" s="1" nd="1"/>
        <i x="145" s="1" nd="1"/>
        <i x="70" s="1" nd="1"/>
        <i x="57" s="1" nd="1"/>
        <i x="125" s="1" nd="1"/>
        <i x="35" s="1" nd="1"/>
        <i x="14" s="1" nd="1"/>
        <i x="180" s="1" nd="1"/>
        <i x="29" s="1" nd="1"/>
        <i x="19" s="1" nd="1"/>
        <i x="3" s="1" nd="1"/>
        <i x="143" s="1" nd="1"/>
        <i x="115" s="1" nd="1"/>
        <i x="77" s="1" nd="1"/>
        <i x="54" s="1" nd="1"/>
        <i x="49" s="1" nd="1"/>
        <i x="23" s="1" nd="1"/>
        <i x="82" s="1" nd="1"/>
        <i x="134" s="1" nd="1"/>
        <i x="123" s="1" nd="1"/>
        <i x="156" s="1" nd="1"/>
        <i x="182" s="1" nd="1"/>
        <i x="8" s="1" nd="1"/>
        <i x="128" s="1" nd="1"/>
        <i x="39" s="1" nd="1"/>
        <i x="63" s="1" nd="1"/>
        <i x="102" s="1" nd="1"/>
        <i x="17" s="1" nd="1"/>
        <i x="161" s="1" nd="1"/>
        <i x="100" s="1" nd="1"/>
        <i x="42" s="1" nd="1"/>
        <i x="45" s="1" nd="1"/>
        <i x="33" s="1" nd="1"/>
        <i x="61" s="1" nd="1"/>
        <i x="169" s="1" nd="1"/>
        <i x="173" s="1" nd="1"/>
        <i x="91" s="1" nd="1"/>
        <i x="136" s="1" nd="1"/>
        <i x="38" s="1" nd="1"/>
        <i x="103" s="1" nd="1"/>
        <i x="93" s="1" nd="1"/>
        <i x="168" s="1" nd="1"/>
        <i x="142" s="1" nd="1"/>
        <i x="26" s="1" nd="1"/>
        <i x="68" s="1" nd="1"/>
        <i x="50" s="1" nd="1"/>
        <i x="197" s="1" nd="1"/>
        <i x="32" s="1" nd="1"/>
        <i x="191" s="1" nd="1"/>
        <i x="179" s="1" nd="1"/>
        <i x="55" s="1" nd="1"/>
        <i x="73" s="1" nd="1"/>
        <i x="171" s="1" nd="1"/>
        <i x="75" s="1" nd="1"/>
        <i x="64" s="1" nd="1"/>
        <i x="162" s="1" nd="1"/>
        <i x="114" s="1" nd="1"/>
        <i x="138" s="1" nd="1"/>
        <i x="132" s="1" nd="1"/>
        <i x="4" s="1" nd="1"/>
        <i x="80" s="1" nd="1"/>
        <i x="13" s="1" nd="1"/>
        <i x="184" s="1" nd="1"/>
        <i x="2" s="1" nd="1"/>
        <i x="152" s="1" nd="1"/>
        <i x="25" s="1" nd="1"/>
        <i x="62" s="1" nd="1"/>
        <i x="22" s="1" nd="1"/>
        <i x="98" s="1" nd="1"/>
        <i x="16" s="1" nd="1"/>
        <i x="15" s="1" nd="1"/>
        <i x="7" s="1" nd="1"/>
        <i x="150" s="1" nd="1"/>
        <i x="43" s="1" nd="1"/>
        <i x="5" s="1" nd="1"/>
        <i x="74" s="1" nd="1"/>
        <i x="86" s="1" nd="1"/>
        <i x="105" s="1" nd="1"/>
        <i x="65" s="1" nd="1"/>
        <i x="186" s="1" nd="1"/>
        <i x="6" s="1" nd="1"/>
        <i x="111" s="1" nd="1"/>
        <i x="147" s="1" nd="1"/>
        <i x="140" s="1" nd="1"/>
        <i x="119" s="1" nd="1"/>
        <i x="149" s="1" nd="1"/>
        <i x="30" s="1" nd="1"/>
        <i x="108" s="1" nd="1"/>
        <i x="94" s="1" nd="1"/>
        <i x="176" s="1" nd="1"/>
        <i x="0" s="1" nd="1"/>
        <i x="189" s="1" nd="1"/>
        <i x="154" s="1" nd="1"/>
        <i x="48" s="1" nd="1"/>
        <i x="66" s="1" nd="1"/>
        <i x="196" s="1" nd="1"/>
        <i x="166" s="1" nd="1"/>
        <i x="85" s="1" nd="1"/>
        <i x="92" s="1" nd="1"/>
        <i x="165" s="1" nd="1"/>
        <i x="155" s="1" nd="1"/>
        <i x="53" s="1" nd="1"/>
        <i x="118" s="1" nd="1"/>
        <i x="69" s="1" nd="1"/>
        <i x="193" s="1" nd="1"/>
        <i x="175" s="1" nd="1"/>
        <i x="90" s="1" nd="1"/>
        <i x="96" s="1" nd="1"/>
        <i x="9" s="1" nd="1"/>
        <i x="126" s="1" nd="1"/>
        <i x="110" s="1" nd="1"/>
        <i x="112" s="1" nd="1"/>
        <i x="135" s="1" nd="1"/>
        <i x="27" s="1" nd="1"/>
        <i x="120" s="1" nd="1"/>
        <i x="36" s="1" nd="1"/>
        <i x="44" s="1" nd="1"/>
        <i x="95" s="1" nd="1"/>
        <i x="106" s="1" nd="1"/>
        <i x="41" s="1" nd="1"/>
        <i x="24" s="1" nd="1"/>
        <i x="198" s="1" nd="1"/>
        <i x="52" s="1" nd="1"/>
        <i x="172" s="1" nd="1"/>
        <i x="190" s="1" nd="1"/>
        <i x="31" s="1" nd="1"/>
        <i x="56" s="1" nd="1"/>
        <i x="164" s="1" nd="1"/>
        <i x="194" s="1" nd="1"/>
        <i x="28" s="1" nd="1"/>
        <i x="81" s="1" nd="1"/>
        <i x="181" s="1" nd="1"/>
        <i x="83" s="1" nd="1"/>
        <i x="183" s="1" nd="1"/>
        <i x="122" s="1" nd="1"/>
        <i x="151" s="1" nd="1"/>
        <i x="40" s="1" nd="1"/>
        <i x="170" s="1" nd="1"/>
        <i x="139" s="1" nd="1"/>
        <i x="117" s="1" nd="1"/>
        <i x="131" s="1" nd="1"/>
        <i x="178" s="1" nd="1"/>
        <i x="1" s="1" nd="1"/>
        <i x="199" s="1" nd="1"/>
        <i x="76" s="1" nd="1"/>
        <i x="88" s="1" nd="1"/>
        <i x="71" s="1" nd="1"/>
        <i x="163" s="1" nd="1"/>
        <i x="101" s="1" nd="1"/>
        <i x="159" s="1" nd="1"/>
        <i x="58" s="1" nd="1"/>
        <i x="104" s="1" nd="1"/>
        <i x="47" s="1" nd="1"/>
        <i x="99" s="1" nd="1"/>
        <i x="12" s="1" nd="1"/>
        <i x="67" s="1" nd="1"/>
        <i x="11" s="1" nd="1"/>
        <i x="177" s="1" nd="1"/>
        <i x="130" s="1" nd="1"/>
        <i x="46" s="1" nd="1"/>
        <i x="37" s="1" nd="1"/>
        <i x="127" s="1" nd="1"/>
        <i x="116" s="1" nd="1"/>
        <i x="20" s="1" nd="1"/>
        <i x="89" s="1" nd="1"/>
        <i x="18" s="1" nd="1"/>
        <i x="157" s="1" nd="1"/>
        <i x="146" s="1" nd="1"/>
        <i x="141" s="1" nd="1"/>
        <i x="60" s="1" nd="1"/>
        <i x="124" s="1" nd="1"/>
        <i x="34" s="1" nd="1"/>
        <i x="84" s="1" nd="1"/>
        <i x="167" s="1" nd="1"/>
        <i x="97" s="1" nd="1"/>
        <i x="51" s="1" nd="1"/>
        <i x="109" s="1" nd="1"/>
        <i x="153" s="1" nd="1"/>
        <i x="158" s="1" nd="1"/>
        <i x="79" s="1" nd="1"/>
        <i x="121" s="1" nd="1"/>
        <i x="174" s="1" nd="1"/>
        <i x="195" s="1" nd="1"/>
        <i x="160" s="1" nd="1"/>
        <i x="87" s="1" nd="1"/>
        <i x="10" s="1" nd="1"/>
        <i x="144" s="1" nd="1"/>
        <i x="59" s="1" nd="1"/>
        <i x="192" s="1" nd="1"/>
        <i x="185" s="1" nd="1"/>
        <i x="10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Quantity 1" cache="Slicer_Quantity" caption="Quantity" rowHeight="234950"/>
  <slicer name="Discount 1" cache="Slicer_Discount" caption="Discount" rowHeight="234950"/>
  <slicer name="Profit 1" cache="Slicer_Profit" caption="Profi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Quantity" cache="Slicer_Quantity" caption="Quantity" rowHeight="234950"/>
  <slicer name="Discount" cache="Slicer_Discount" caption="Discount" rowHeight="234950"/>
  <slicer name="Profit" cache="Slicer_Profit" caption="Profit" rowHeight="234950"/>
</slicers>
</file>

<file path=xl/tables/table1.xml><?xml version="1.0" encoding="utf-8"?>
<table xmlns="http://schemas.openxmlformats.org/spreadsheetml/2006/main" id="1" name="Table1" displayName="Table1" ref="A1:I201" totalsRowShown="0" headerRowDxfId="13" dataDxfId="11" headerRowBorderDxfId="12" tableBorderDxfId="10">
  <autoFilter ref="A1:I201"/>
  <tableColumns count="9">
    <tableColumn id="1" name="Customer_ID" dataDxfId="9"/>
    <tableColumn id="2" name="Customer_Name" dataDxfId="8"/>
    <tableColumn id="3" name="Region" dataDxfId="7"/>
    <tableColumn id="4" name="Product_Category" dataDxfId="6"/>
    <tableColumn id="5" name="Sales" dataDxfId="5"/>
    <tableColumn id="6" name="Quantity" dataDxfId="4"/>
    <tableColumn id="7" name="Discount" dataDxfId="3"/>
    <tableColumn id="8" name="Order_Date" dataDxfId="2"/>
    <tableColumn id="9" name="Profi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99"/>
  <sheetViews>
    <sheetView showGridLines="0" tabSelected="1" zoomScaleNormal="100" workbookViewId="0">
      <selection sqref="A1:X3"/>
    </sheetView>
  </sheetViews>
  <sheetFormatPr defaultRowHeight="14.4" x14ac:dyDescent="0.3"/>
  <sheetData>
    <row r="1" spans="1:74" x14ac:dyDescent="0.3">
      <c r="A1" s="47" t="s">
        <v>91</v>
      </c>
      <c r="B1" s="48"/>
      <c r="C1" s="48"/>
      <c r="D1" s="48"/>
      <c r="E1" s="48"/>
      <c r="F1" s="48"/>
      <c r="G1" s="48"/>
      <c r="H1" s="48"/>
      <c r="I1" s="48"/>
      <c r="J1" s="48"/>
      <c r="K1" s="48"/>
      <c r="L1" s="48"/>
      <c r="M1" s="48"/>
      <c r="N1" s="48"/>
      <c r="O1" s="48"/>
      <c r="P1" s="48"/>
      <c r="Q1" s="48"/>
      <c r="R1" s="48"/>
      <c r="S1" s="48"/>
      <c r="T1" s="48"/>
      <c r="U1" s="48"/>
      <c r="V1" s="48"/>
      <c r="W1" s="48"/>
      <c r="X1" s="48"/>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row>
    <row r="2" spans="1:74" x14ac:dyDescent="0.3">
      <c r="A2" s="48"/>
      <c r="B2" s="48"/>
      <c r="C2" s="48"/>
      <c r="D2" s="48"/>
      <c r="E2" s="48"/>
      <c r="F2" s="48"/>
      <c r="G2" s="48"/>
      <c r="H2" s="48"/>
      <c r="I2" s="48"/>
      <c r="J2" s="48"/>
      <c r="K2" s="48"/>
      <c r="L2" s="48"/>
      <c r="M2" s="48"/>
      <c r="N2" s="48"/>
      <c r="O2" s="48"/>
      <c r="P2" s="48"/>
      <c r="Q2" s="48"/>
      <c r="R2" s="48"/>
      <c r="S2" s="48"/>
      <c r="T2" s="48"/>
      <c r="U2" s="48"/>
      <c r="V2" s="48"/>
      <c r="W2" s="48"/>
      <c r="X2" s="48"/>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row>
    <row r="3" spans="1:74" x14ac:dyDescent="0.3">
      <c r="A3" s="48"/>
      <c r="B3" s="48"/>
      <c r="C3" s="48"/>
      <c r="D3" s="48"/>
      <c r="E3" s="48"/>
      <c r="F3" s="48"/>
      <c r="G3" s="48"/>
      <c r="H3" s="48"/>
      <c r="I3" s="48"/>
      <c r="J3" s="48"/>
      <c r="K3" s="48"/>
      <c r="L3" s="48"/>
      <c r="M3" s="48"/>
      <c r="N3" s="48"/>
      <c r="O3" s="48"/>
      <c r="P3" s="48"/>
      <c r="Q3" s="48"/>
      <c r="R3" s="48"/>
      <c r="S3" s="48"/>
      <c r="T3" s="48"/>
      <c r="U3" s="48"/>
      <c r="V3" s="48"/>
      <c r="W3" s="48"/>
      <c r="X3" s="48"/>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row>
    <row r="4" spans="1:74" x14ac:dyDescent="0.3">
      <c r="A4" s="46"/>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row>
    <row r="5" spans="1:74" x14ac:dyDescent="0.3">
      <c r="A5" s="46"/>
      <c r="B5" s="49"/>
      <c r="C5" s="49"/>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row>
    <row r="6" spans="1:74" x14ac:dyDescent="0.3">
      <c r="A6" s="46"/>
      <c r="B6" s="49"/>
      <c r="C6" s="49"/>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row>
    <row r="7" spans="1:74" x14ac:dyDescent="0.3">
      <c r="A7" s="46"/>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row>
    <row r="8" spans="1:74" x14ac:dyDescent="0.3">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row>
    <row r="9" spans="1:74" x14ac:dyDescent="0.3">
      <c r="A9" s="46"/>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row>
    <row r="11" spans="1:74" x14ac:dyDescent="0.3">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row>
    <row r="12" spans="1:74" x14ac:dyDescent="0.3">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row>
    <row r="13" spans="1:74" x14ac:dyDescent="0.3">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row>
    <row r="14" spans="1:74" x14ac:dyDescent="0.3">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row>
    <row r="15" spans="1:74" x14ac:dyDescent="0.3">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row>
    <row r="16" spans="1:74" x14ac:dyDescent="0.3">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row>
    <row r="17" spans="1:74" x14ac:dyDescent="0.3">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row>
    <row r="18" spans="1:74" x14ac:dyDescent="0.3">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row>
    <row r="19" spans="1:74" x14ac:dyDescent="0.3">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row>
    <row r="20" spans="1:74" x14ac:dyDescent="0.3">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row>
    <row r="21" spans="1:74" x14ac:dyDescent="0.3">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row>
    <row r="22" spans="1:74" x14ac:dyDescent="0.3">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row>
    <row r="23" spans="1:74" x14ac:dyDescent="0.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row>
    <row r="24" spans="1:74" x14ac:dyDescent="0.3">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row>
    <row r="25" spans="1:74" x14ac:dyDescent="0.3">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row>
    <row r="26" spans="1:74" x14ac:dyDescent="0.3">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row>
    <row r="27" spans="1:74" x14ac:dyDescent="0.3">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row>
    <row r="29" spans="1:74" x14ac:dyDescent="0.3">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row>
    <row r="30" spans="1:74" x14ac:dyDescent="0.3">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row>
    <row r="31" spans="1:74" x14ac:dyDescent="0.3">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row>
    <row r="32" spans="1:74" x14ac:dyDescent="0.3">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row>
    <row r="33" spans="1:71" x14ac:dyDescent="0.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row>
    <row r="34" spans="1:71" x14ac:dyDescent="0.3">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row>
    <row r="35" spans="1:71" x14ac:dyDescent="0.3">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row>
    <row r="36" spans="1:71" x14ac:dyDescent="0.3">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row>
    <row r="37" spans="1:71" x14ac:dyDescent="0.3">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row>
    <row r="38" spans="1:71" x14ac:dyDescent="0.3">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row>
    <row r="39" spans="1:71" x14ac:dyDescent="0.3">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row>
    <row r="40" spans="1:71" x14ac:dyDescent="0.3">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row>
    <row r="41" spans="1:71" x14ac:dyDescent="0.3">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row>
    <row r="42" spans="1:71" x14ac:dyDescent="0.3">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row>
    <row r="43" spans="1:71" x14ac:dyDescent="0.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row>
    <row r="44" spans="1:71" x14ac:dyDescent="0.3">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row>
    <row r="45" spans="1:71" x14ac:dyDescent="0.3">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row>
    <row r="46" spans="1:71" x14ac:dyDescent="0.3">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row>
    <row r="47" spans="1:71" x14ac:dyDescent="0.3">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row>
    <row r="48" spans="1:71" x14ac:dyDescent="0.3">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row>
    <row r="50" spans="1:96" x14ac:dyDescent="0.3">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row>
    <row r="51" spans="1:96" x14ac:dyDescent="0.3">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row>
    <row r="52" spans="1:96" x14ac:dyDescent="0.3">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row>
    <row r="53" spans="1:96" x14ac:dyDescent="0.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c r="CO53" s="46"/>
      <c r="CP53" s="46"/>
      <c r="CQ53" s="46"/>
      <c r="CR53" s="46"/>
    </row>
    <row r="54" spans="1:96" x14ac:dyDescent="0.3">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row>
    <row r="55" spans="1:96" x14ac:dyDescent="0.3">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row>
    <row r="56" spans="1:96" x14ac:dyDescent="0.3">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row>
    <row r="57" spans="1:96" x14ac:dyDescent="0.3">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c r="CR57" s="46"/>
    </row>
    <row r="58" spans="1:96" x14ac:dyDescent="0.3">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row>
    <row r="59" spans="1:96" x14ac:dyDescent="0.3">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row>
    <row r="60" spans="1:96" x14ac:dyDescent="0.3">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row>
    <row r="61" spans="1:96" x14ac:dyDescent="0.3">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c r="CD61" s="46"/>
      <c r="CE61" s="46"/>
      <c r="CF61" s="46"/>
      <c r="CG61" s="46"/>
      <c r="CH61" s="46"/>
      <c r="CI61" s="46"/>
      <c r="CJ61" s="46"/>
      <c r="CK61" s="46"/>
      <c r="CL61" s="46"/>
      <c r="CM61" s="46"/>
      <c r="CN61" s="46"/>
      <c r="CO61" s="46"/>
      <c r="CP61" s="46"/>
      <c r="CQ61" s="46"/>
      <c r="CR61" s="46"/>
    </row>
    <row r="62" spans="1:96" x14ac:dyDescent="0.3">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row>
    <row r="63" spans="1:96" x14ac:dyDescent="0.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row>
    <row r="64" spans="1:96" x14ac:dyDescent="0.3">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row>
    <row r="65" spans="1:96" x14ac:dyDescent="0.3">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c r="CO65" s="46"/>
      <c r="CP65" s="46"/>
      <c r="CQ65" s="46"/>
      <c r="CR65" s="46"/>
    </row>
    <row r="66" spans="1:96" x14ac:dyDescent="0.3">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row>
    <row r="67" spans="1:96" x14ac:dyDescent="0.3">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c r="CD67" s="46"/>
      <c r="CE67" s="46"/>
      <c r="CF67" s="46"/>
      <c r="CG67" s="46"/>
      <c r="CH67" s="46"/>
      <c r="CI67" s="46"/>
      <c r="CJ67" s="46"/>
      <c r="CK67" s="46"/>
      <c r="CL67" s="46"/>
      <c r="CM67" s="46"/>
      <c r="CN67" s="46"/>
      <c r="CO67" s="46"/>
      <c r="CP67" s="46"/>
      <c r="CQ67" s="46"/>
      <c r="CR67" s="46"/>
    </row>
    <row r="68" spans="1:96" x14ac:dyDescent="0.3">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row>
    <row r="69" spans="1:96" x14ac:dyDescent="0.3">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row>
    <row r="70" spans="1:96" x14ac:dyDescent="0.3">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row>
    <row r="71" spans="1:96" x14ac:dyDescent="0.3">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c r="CO71" s="46"/>
      <c r="CP71" s="46"/>
      <c r="CQ71" s="46"/>
      <c r="CR71" s="46"/>
    </row>
    <row r="72" spans="1:96" x14ac:dyDescent="0.3">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row>
    <row r="73" spans="1:96" x14ac:dyDescent="0.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c r="CO73" s="46"/>
      <c r="CP73" s="46"/>
      <c r="CQ73" s="46"/>
      <c r="CR73" s="46"/>
    </row>
    <row r="74" spans="1:96" x14ac:dyDescent="0.3">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row>
    <row r="75" spans="1:96" x14ac:dyDescent="0.3">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46"/>
      <c r="CE75" s="46"/>
      <c r="CF75" s="46"/>
      <c r="CG75" s="46"/>
      <c r="CH75" s="46"/>
      <c r="CI75" s="46"/>
      <c r="CJ75" s="46"/>
      <c r="CK75" s="46"/>
      <c r="CL75" s="46"/>
      <c r="CM75" s="46"/>
      <c r="CN75" s="46"/>
      <c r="CO75" s="46"/>
      <c r="CP75" s="46"/>
      <c r="CQ75" s="46"/>
      <c r="CR75" s="46"/>
    </row>
    <row r="76" spans="1:96" x14ac:dyDescent="0.3">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46"/>
      <c r="CH76" s="46"/>
      <c r="CI76" s="46"/>
      <c r="CJ76" s="46"/>
      <c r="CK76" s="46"/>
      <c r="CL76" s="46"/>
      <c r="CM76" s="46"/>
      <c r="CN76" s="46"/>
      <c r="CO76" s="46"/>
      <c r="CP76" s="46"/>
      <c r="CQ76" s="46"/>
      <c r="CR76" s="46"/>
    </row>
    <row r="77" spans="1:96" x14ac:dyDescent="0.3">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row>
    <row r="78" spans="1:96" x14ac:dyDescent="0.3">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row>
    <row r="79" spans="1:96" x14ac:dyDescent="0.3">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c r="CO79" s="46"/>
      <c r="CP79" s="46"/>
      <c r="CQ79" s="46"/>
      <c r="CR79" s="46"/>
    </row>
    <row r="80" spans="1:96" x14ac:dyDescent="0.3">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row>
    <row r="81" spans="1:96" x14ac:dyDescent="0.3">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c r="CO81" s="46"/>
      <c r="CP81" s="46"/>
      <c r="CQ81" s="46"/>
      <c r="CR81" s="46"/>
    </row>
    <row r="82" spans="1:96" x14ac:dyDescent="0.3">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row>
    <row r="83" spans="1:96" x14ac:dyDescent="0.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row>
    <row r="84" spans="1:96" x14ac:dyDescent="0.3">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row>
    <row r="85" spans="1:96" x14ac:dyDescent="0.3">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row>
    <row r="86" spans="1:96" x14ac:dyDescent="0.3">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row>
    <row r="87" spans="1:96" x14ac:dyDescent="0.3">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row>
    <row r="88" spans="1:96" x14ac:dyDescent="0.3">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row>
    <row r="89" spans="1:96" x14ac:dyDescent="0.3">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c r="CO89" s="46"/>
      <c r="CP89" s="46"/>
      <c r="CQ89" s="46"/>
      <c r="CR89" s="46"/>
    </row>
    <row r="90" spans="1:96" x14ac:dyDescent="0.3">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row>
    <row r="91" spans="1:96" x14ac:dyDescent="0.3">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c r="CO91" s="46"/>
      <c r="CP91" s="46"/>
      <c r="CQ91" s="46"/>
      <c r="CR91" s="46"/>
    </row>
    <row r="92" spans="1:96" x14ac:dyDescent="0.3">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row>
    <row r="93" spans="1:96" x14ac:dyDescent="0.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c r="CO93" s="46"/>
      <c r="CP93" s="46"/>
      <c r="CQ93" s="46"/>
      <c r="CR93" s="46"/>
    </row>
    <row r="94" spans="1:96" x14ac:dyDescent="0.3">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row>
    <row r="95" spans="1:96" x14ac:dyDescent="0.3">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row>
    <row r="96" spans="1:96" x14ac:dyDescent="0.3">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row>
    <row r="97" spans="1:96" x14ac:dyDescent="0.3">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c r="CQ97" s="46"/>
      <c r="CR97" s="46"/>
    </row>
    <row r="98" spans="1:96" x14ac:dyDescent="0.3">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c r="CO98" s="46"/>
      <c r="CP98" s="46"/>
      <c r="CQ98" s="46"/>
      <c r="CR98" s="46"/>
    </row>
    <row r="99" spans="1:96" x14ac:dyDescent="0.3">
      <c r="A99" s="46"/>
      <c r="B99" s="46"/>
      <c r="C99" s="46"/>
      <c r="D99" s="46"/>
      <c r="E99" s="46"/>
      <c r="F99" s="46"/>
      <c r="G99" s="46"/>
      <c r="H99" s="46"/>
      <c r="I99" s="46"/>
      <c r="J99" s="46"/>
      <c r="K99" s="46"/>
      <c r="L99" s="46"/>
      <c r="M99" s="46"/>
      <c r="N99" s="46"/>
      <c r="O99" s="46"/>
      <c r="P99" s="46"/>
      <c r="Q99" s="46"/>
      <c r="R99" s="46"/>
      <c r="S99" s="46"/>
      <c r="T99" s="46"/>
      <c r="U99" s="46"/>
      <c r="V99" s="46"/>
      <c r="W99" s="46"/>
      <c r="X99" s="46"/>
      <c r="Y99" s="46"/>
    </row>
  </sheetData>
  <mergeCells count="2">
    <mergeCell ref="A1:X3"/>
    <mergeCell ref="B5:C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47"/>
  <sheetViews>
    <sheetView workbookViewId="0">
      <selection activeCell="A3" sqref="A3"/>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14.4" x14ac:dyDescent="0.3">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85" zoomScaleNormal="85" workbookViewId="0">
      <selection activeCell="S27" sqref="S27"/>
    </sheetView>
  </sheetViews>
  <sheetFormatPr defaultRowHeight="14.4" x14ac:dyDescent="0.3"/>
  <cols>
    <col min="1" max="1" width="17.21875" bestFit="1" customWidth="1"/>
    <col min="2" max="2" width="12.109375" bestFit="1" customWidth="1"/>
    <col min="3" max="3" width="12.6640625" bestFit="1" customWidth="1"/>
  </cols>
  <sheetData>
    <row r="3" spans="1:2" x14ac:dyDescent="0.3">
      <c r="A3" s="30" t="s">
        <v>88</v>
      </c>
      <c r="B3" t="s">
        <v>90</v>
      </c>
    </row>
    <row r="4" spans="1:2" x14ac:dyDescent="0.3">
      <c r="A4" s="31" t="s">
        <v>22</v>
      </c>
      <c r="B4" s="33">
        <v>2514.3000000000002</v>
      </c>
    </row>
    <row r="5" spans="1:2" x14ac:dyDescent="0.3">
      <c r="A5" s="32" t="s">
        <v>17</v>
      </c>
      <c r="B5" s="33">
        <v>682.24</v>
      </c>
    </row>
    <row r="6" spans="1:2" x14ac:dyDescent="0.3">
      <c r="A6" s="32" t="s">
        <v>23</v>
      </c>
      <c r="B6" s="33">
        <v>1832.06</v>
      </c>
    </row>
    <row r="7" spans="1:2" x14ac:dyDescent="0.3">
      <c r="A7" s="31" t="s">
        <v>13</v>
      </c>
      <c r="B7" s="33">
        <v>1111.3399999999999</v>
      </c>
    </row>
    <row r="8" spans="1:2" x14ac:dyDescent="0.3">
      <c r="A8" s="32" t="s">
        <v>41</v>
      </c>
      <c r="B8" s="33">
        <v>1111.3399999999999</v>
      </c>
    </row>
    <row r="9" spans="1:2" x14ac:dyDescent="0.3">
      <c r="A9" s="31" t="s">
        <v>89</v>
      </c>
      <c r="B9" s="33">
        <v>3625.6400000000003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85" zoomScaleNormal="85" workbookViewId="0">
      <selection activeCell="L28" sqref="L28"/>
    </sheetView>
  </sheetViews>
  <sheetFormatPr defaultColWidth="14.44140625" defaultRowHeight="15" customHeight="1" x14ac:dyDescent="0.3"/>
  <cols>
    <col min="1" max="1" width="13.88671875" customWidth="1"/>
    <col min="2" max="2" width="17.109375" customWidth="1"/>
    <col min="3" max="3" width="9.109375" customWidth="1"/>
    <col min="4" max="4" width="18.33203125" customWidth="1"/>
    <col min="5" max="5" width="8" customWidth="1"/>
    <col min="6" max="6" width="10.5546875" customWidth="1"/>
    <col min="7" max="7" width="10.44140625" customWidth="1"/>
    <col min="8" max="8" width="13" customWidth="1"/>
    <col min="9" max="9" width="7.88671875" customWidth="1"/>
    <col min="10" max="10" width="11.5546875" customWidth="1"/>
    <col min="11" max="11" width="8.6640625" style="5" customWidth="1"/>
    <col min="12" max="12" width="17.109375" style="5" customWidth="1"/>
    <col min="13" max="13" width="8.6640625" style="5" customWidth="1"/>
    <col min="14" max="14" width="17.77734375" customWidth="1"/>
    <col min="15" max="15" width="25.109375" customWidth="1"/>
    <col min="16" max="16" width="17.33203125" customWidth="1"/>
    <col min="17" max="26" width="8.6640625" customWidth="1"/>
  </cols>
  <sheetData>
    <row r="1" spans="1:26" ht="14.4" x14ac:dyDescent="0.3">
      <c r="A1" s="38" t="s">
        <v>2</v>
      </c>
      <c r="B1" s="39" t="s">
        <v>3</v>
      </c>
      <c r="C1" s="39" t="s">
        <v>4</v>
      </c>
      <c r="D1" s="39" t="s">
        <v>5</v>
      </c>
      <c r="E1" s="39" t="s">
        <v>6</v>
      </c>
      <c r="F1" s="39" t="s">
        <v>7</v>
      </c>
      <c r="G1" s="39" t="s">
        <v>8</v>
      </c>
      <c r="H1" s="39" t="s">
        <v>9</v>
      </c>
      <c r="I1" s="40" t="s">
        <v>10</v>
      </c>
      <c r="J1" s="27" t="s">
        <v>83</v>
      </c>
      <c r="K1" s="9" t="s">
        <v>86</v>
      </c>
      <c r="L1" s="28" t="s">
        <v>85</v>
      </c>
      <c r="M1" s="29" t="s">
        <v>87</v>
      </c>
      <c r="N1" s="45" t="s">
        <v>92</v>
      </c>
      <c r="O1" s="20" t="s">
        <v>79</v>
      </c>
      <c r="P1" s="19" t="s">
        <v>81</v>
      </c>
      <c r="R1" s="4"/>
      <c r="V1" s="4"/>
      <c r="W1" s="4"/>
      <c r="X1" s="4"/>
      <c r="Y1" s="4"/>
      <c r="Z1" s="4"/>
    </row>
    <row r="2" spans="1:26" ht="14.4" x14ac:dyDescent="0.3">
      <c r="A2" s="34" t="s">
        <v>11</v>
      </c>
      <c r="B2" s="10" t="s">
        <v>12</v>
      </c>
      <c r="C2" s="10" t="s">
        <v>13</v>
      </c>
      <c r="D2" s="10" t="s">
        <v>14</v>
      </c>
      <c r="E2" s="10">
        <v>1036.0899999999999</v>
      </c>
      <c r="F2" s="10">
        <v>4</v>
      </c>
      <c r="G2" s="10">
        <v>0.2</v>
      </c>
      <c r="H2" s="11">
        <v>45392</v>
      </c>
      <c r="I2" s="36">
        <v>331.55</v>
      </c>
      <c r="J2" s="25">
        <f>AVERAGE(E1:E200)</f>
        <v>976.3288442211051</v>
      </c>
      <c r="K2" s="16">
        <f>MEDIAN(E2:E200)</f>
        <v>980.18</v>
      </c>
      <c r="L2" s="8">
        <f>MAX(E1:E200)</f>
        <v>1923.66</v>
      </c>
      <c r="M2" s="7">
        <f>MIN(E1:E200)</f>
        <v>258.51</v>
      </c>
      <c r="N2" s="26"/>
      <c r="O2" s="5">
        <f>IFERROR((E3-E2)/E2,0)</f>
        <v>6.2919244467179544E-2</v>
      </c>
      <c r="P2" s="8" t="str">
        <f>INDEX($B$2:$B$200,MATCH(MAX($K$2:$K$200),$K$2:$K$200,0))</f>
        <v>Emma Davis</v>
      </c>
    </row>
    <row r="3" spans="1:26" ht="14.4" x14ac:dyDescent="0.3">
      <c r="A3" s="35" t="s">
        <v>15</v>
      </c>
      <c r="B3" s="12" t="s">
        <v>16</v>
      </c>
      <c r="C3" s="12" t="s">
        <v>13</v>
      </c>
      <c r="D3" s="12" t="s">
        <v>17</v>
      </c>
      <c r="E3" s="12">
        <v>1101.28</v>
      </c>
      <c r="F3" s="12">
        <v>3</v>
      </c>
      <c r="G3" s="12">
        <v>0.2</v>
      </c>
      <c r="H3" s="13">
        <v>45393</v>
      </c>
      <c r="I3" s="37">
        <v>440.51</v>
      </c>
      <c r="J3" s="25">
        <f t="shared" ref="J3:J66" si="0">AVERAGE(E2:E201)</f>
        <v>976.08879999999965</v>
      </c>
      <c r="K3" s="16">
        <f t="shared" ref="K3:K66" si="1">MEDIAN(E3:E201)</f>
        <v>973.26</v>
      </c>
      <c r="L3" s="8"/>
      <c r="M3" s="7"/>
      <c r="N3" s="26" t="str">
        <f>TEXT(H2,"mmm-yyyy")</f>
        <v>Apr-2024</v>
      </c>
      <c r="O3" s="5">
        <f>IFERROR((E4-E3)/E3,0)</f>
        <v>-0.35226282144413767</v>
      </c>
      <c r="P3" s="8"/>
    </row>
    <row r="4" spans="1:26" ht="14.4" x14ac:dyDescent="0.3">
      <c r="A4" s="35" t="s">
        <v>18</v>
      </c>
      <c r="B4" s="12" t="s">
        <v>19</v>
      </c>
      <c r="C4" s="12" t="s">
        <v>20</v>
      </c>
      <c r="D4" s="12" t="s">
        <v>14</v>
      </c>
      <c r="E4" s="12">
        <v>713.34</v>
      </c>
      <c r="F4" s="12">
        <v>17</v>
      </c>
      <c r="G4" s="12">
        <v>0</v>
      </c>
      <c r="H4" s="13">
        <v>45396</v>
      </c>
      <c r="I4" s="37">
        <v>285.33999999999997</v>
      </c>
      <c r="J4" s="25">
        <f t="shared" si="0"/>
        <v>975.78728643216039</v>
      </c>
      <c r="K4" s="16">
        <f t="shared" si="1"/>
        <v>970.57500000000005</v>
      </c>
      <c r="L4"/>
      <c r="M4"/>
      <c r="O4" s="5">
        <f>IFERROR((E5-E4)/E4,0)</f>
        <v>6.6714329772618833E-2</v>
      </c>
    </row>
    <row r="5" spans="1:26" ht="14.4" x14ac:dyDescent="0.3">
      <c r="A5" s="35" t="s">
        <v>21</v>
      </c>
      <c r="B5" s="12" t="s">
        <v>16</v>
      </c>
      <c r="C5" s="12" t="s">
        <v>22</v>
      </c>
      <c r="D5" s="12" t="s">
        <v>23</v>
      </c>
      <c r="E5" s="12">
        <v>760.93</v>
      </c>
      <c r="F5" s="12">
        <v>4</v>
      </c>
      <c r="G5" s="12">
        <v>0.15</v>
      </c>
      <c r="H5" s="13">
        <v>45396</v>
      </c>
      <c r="I5" s="37">
        <v>161.69999999999999</v>
      </c>
      <c r="J5" s="25">
        <f t="shared" si="0"/>
        <v>975.15348484848448</v>
      </c>
      <c r="K5" s="16">
        <f t="shared" si="1"/>
        <v>973.26</v>
      </c>
      <c r="L5"/>
      <c r="M5"/>
      <c r="O5" s="5">
        <f t="shared" ref="O5:O11" si="2">IFERROR((E6-E5)/E5,0)</f>
        <v>0.1131115871367932</v>
      </c>
    </row>
    <row r="6" spans="1:26" ht="14.4" x14ac:dyDescent="0.3">
      <c r="A6" s="35" t="s">
        <v>24</v>
      </c>
      <c r="B6" s="12" t="s">
        <v>25</v>
      </c>
      <c r="C6" s="12" t="s">
        <v>26</v>
      </c>
      <c r="D6" s="12" t="s">
        <v>14</v>
      </c>
      <c r="E6" s="12">
        <v>847</v>
      </c>
      <c r="F6" s="12">
        <v>12</v>
      </c>
      <c r="G6" s="12">
        <v>0.2</v>
      </c>
      <c r="H6" s="13">
        <v>45397</v>
      </c>
      <c r="I6" s="37">
        <v>271.04000000000002</v>
      </c>
      <c r="J6" s="25">
        <f t="shared" si="0"/>
        <v>976.48248730964428</v>
      </c>
      <c r="K6" s="16">
        <f t="shared" si="1"/>
        <v>976.72</v>
      </c>
      <c r="L6"/>
      <c r="M6"/>
      <c r="O6" s="5">
        <f t="shared" si="2"/>
        <v>0.14007083825265643</v>
      </c>
      <c r="P6" s="21" t="s">
        <v>82</v>
      </c>
    </row>
    <row r="7" spans="1:26" ht="14.4" x14ac:dyDescent="0.3">
      <c r="A7" s="35" t="s">
        <v>27</v>
      </c>
      <c r="B7" s="12" t="s">
        <v>28</v>
      </c>
      <c r="C7" s="12" t="s">
        <v>26</v>
      </c>
      <c r="D7" s="12" t="s">
        <v>29</v>
      </c>
      <c r="E7" s="12">
        <v>965.64</v>
      </c>
      <c r="F7" s="12">
        <v>8</v>
      </c>
      <c r="G7" s="12">
        <v>0.1</v>
      </c>
      <c r="H7" s="13">
        <v>45398</v>
      </c>
      <c r="I7" s="37">
        <v>304.18</v>
      </c>
      <c r="J7" s="25">
        <f t="shared" si="0"/>
        <v>977.58224489795884</v>
      </c>
      <c r="K7" s="16">
        <f t="shared" si="1"/>
        <v>980.18</v>
      </c>
      <c r="L7"/>
      <c r="M7"/>
      <c r="O7" s="5">
        <f t="shared" si="2"/>
        <v>0.36441116772296095</v>
      </c>
      <c r="P7" s="22" t="str">
        <f>IF(K2&gt;=PERCENTILE($K$2:$K$200,0.9),"High Value","Normal")</f>
        <v>Normal</v>
      </c>
    </row>
    <row r="8" spans="1:26" ht="14.4" x14ac:dyDescent="0.3">
      <c r="A8" s="35" t="s">
        <v>30</v>
      </c>
      <c r="B8" s="12" t="s">
        <v>31</v>
      </c>
      <c r="C8" s="12" t="s">
        <v>13</v>
      </c>
      <c r="D8" s="12" t="s">
        <v>23</v>
      </c>
      <c r="E8" s="12">
        <v>1317.53</v>
      </c>
      <c r="F8" s="12">
        <v>12</v>
      </c>
      <c r="G8" s="12">
        <v>0.05</v>
      </c>
      <c r="H8" s="13">
        <v>45398</v>
      </c>
      <c r="I8" s="37">
        <v>312.91000000000003</v>
      </c>
      <c r="J8" s="25">
        <f t="shared" si="0"/>
        <v>978.25189743589715</v>
      </c>
      <c r="K8" s="16">
        <f t="shared" si="1"/>
        <v>980.69</v>
      </c>
      <c r="L8"/>
      <c r="M8"/>
      <c r="O8" s="5">
        <f t="shared" si="2"/>
        <v>-0.18448156778213776</v>
      </c>
    </row>
    <row r="9" spans="1:26" ht="14.4" x14ac:dyDescent="0.3">
      <c r="A9" s="35" t="s">
        <v>32</v>
      </c>
      <c r="B9" s="12" t="s">
        <v>33</v>
      </c>
      <c r="C9" s="12" t="s">
        <v>20</v>
      </c>
      <c r="D9" s="12" t="s">
        <v>29</v>
      </c>
      <c r="E9" s="12">
        <v>1074.47</v>
      </c>
      <c r="F9" s="12">
        <v>6</v>
      </c>
      <c r="G9" s="12">
        <v>0.2</v>
      </c>
      <c r="H9" s="13">
        <v>45401</v>
      </c>
      <c r="I9" s="37">
        <v>300.85000000000002</v>
      </c>
      <c r="J9" s="25">
        <f t="shared" si="0"/>
        <v>978.31690721649466</v>
      </c>
      <c r="K9" s="16">
        <f t="shared" si="1"/>
        <v>980.18</v>
      </c>
      <c r="L9"/>
      <c r="M9"/>
      <c r="O9" s="5">
        <f t="shared" si="2"/>
        <v>-0.53322102990311504</v>
      </c>
    </row>
    <row r="10" spans="1:26" ht="14.4" x14ac:dyDescent="0.3">
      <c r="A10" s="35" t="s">
        <v>34</v>
      </c>
      <c r="B10" s="12" t="s">
        <v>35</v>
      </c>
      <c r="C10" s="12" t="s">
        <v>36</v>
      </c>
      <c r="D10" s="12" t="s">
        <v>14</v>
      </c>
      <c r="E10" s="12">
        <v>501.54</v>
      </c>
      <c r="F10" s="12">
        <v>11</v>
      </c>
      <c r="G10" s="12">
        <v>0.05</v>
      </c>
      <c r="H10" s="13">
        <v>45401</v>
      </c>
      <c r="I10" s="37">
        <v>190.59</v>
      </c>
      <c r="J10" s="25">
        <f t="shared" si="0"/>
        <v>976.55932642487005</v>
      </c>
      <c r="K10" s="16">
        <f t="shared" si="1"/>
        <v>976.72</v>
      </c>
      <c r="L10"/>
      <c r="M10"/>
      <c r="O10" s="5">
        <f t="shared" si="2"/>
        <v>0.47009211628185171</v>
      </c>
    </row>
    <row r="11" spans="1:26" ht="14.4" x14ac:dyDescent="0.3">
      <c r="A11" s="35" t="s">
        <v>37</v>
      </c>
      <c r="B11" s="12" t="s">
        <v>38</v>
      </c>
      <c r="C11" s="12" t="s">
        <v>36</v>
      </c>
      <c r="D11" s="12" t="s">
        <v>17</v>
      </c>
      <c r="E11" s="12">
        <v>737.31</v>
      </c>
      <c r="F11" s="12">
        <v>2</v>
      </c>
      <c r="G11" s="12">
        <v>0.05</v>
      </c>
      <c r="H11" s="13">
        <v>45401</v>
      </c>
      <c r="I11" s="37">
        <v>350.22</v>
      </c>
      <c r="J11" s="25">
        <f t="shared" si="0"/>
        <v>976.04937499999971</v>
      </c>
      <c r="K11" s="16">
        <f t="shared" si="1"/>
        <v>980.18</v>
      </c>
      <c r="L11"/>
      <c r="M11"/>
      <c r="O11" s="5">
        <f t="shared" si="2"/>
        <v>1.1331868549185553</v>
      </c>
    </row>
    <row r="12" spans="1:26" ht="14.4" x14ac:dyDescent="0.3">
      <c r="A12" s="35" t="s">
        <v>39</v>
      </c>
      <c r="B12" s="12" t="s">
        <v>40</v>
      </c>
      <c r="C12" s="12" t="s">
        <v>13</v>
      </c>
      <c r="D12" s="12" t="s">
        <v>41</v>
      </c>
      <c r="E12" s="12">
        <v>1572.82</v>
      </c>
      <c r="F12" s="12">
        <v>6</v>
      </c>
      <c r="G12" s="12">
        <v>0.05</v>
      </c>
      <c r="H12" s="13">
        <v>45402</v>
      </c>
      <c r="I12" s="37">
        <v>672.38</v>
      </c>
      <c r="J12" s="25">
        <f t="shared" si="0"/>
        <v>978.53371727748674</v>
      </c>
      <c r="K12" s="16">
        <f t="shared" si="1"/>
        <v>980.69</v>
      </c>
      <c r="L12"/>
      <c r="M12"/>
    </row>
    <row r="13" spans="1:26" ht="14.4" x14ac:dyDescent="0.3">
      <c r="A13" s="35" t="s">
        <v>39</v>
      </c>
      <c r="B13" s="12" t="s">
        <v>38</v>
      </c>
      <c r="C13" s="12" t="s">
        <v>36</v>
      </c>
      <c r="D13" s="12" t="s">
        <v>14</v>
      </c>
      <c r="E13" s="12">
        <v>1343.13</v>
      </c>
      <c r="F13" s="12">
        <v>14</v>
      </c>
      <c r="G13" s="12">
        <v>0.15</v>
      </c>
      <c r="H13" s="13">
        <v>45404</v>
      </c>
      <c r="I13" s="37">
        <v>456.66</v>
      </c>
      <c r="J13" s="25">
        <f t="shared" si="0"/>
        <v>979.80331578947346</v>
      </c>
      <c r="K13" s="16">
        <f t="shared" si="1"/>
        <v>980.18</v>
      </c>
      <c r="L13"/>
      <c r="M13"/>
    </row>
    <row r="14" spans="1:26" ht="14.4" x14ac:dyDescent="0.3">
      <c r="A14" s="35" t="s">
        <v>39</v>
      </c>
      <c r="B14" s="12" t="s">
        <v>28</v>
      </c>
      <c r="C14" s="12" t="s">
        <v>36</v>
      </c>
      <c r="D14" s="12" t="s">
        <v>14</v>
      </c>
      <c r="E14" s="12">
        <v>1191.58</v>
      </c>
      <c r="F14" s="12">
        <v>14</v>
      </c>
      <c r="G14" s="12">
        <v>0.05</v>
      </c>
      <c r="H14" s="13">
        <v>45406</v>
      </c>
      <c r="I14" s="37">
        <v>452.8</v>
      </c>
      <c r="J14" s="25">
        <f t="shared" si="0"/>
        <v>976.6656613756611</v>
      </c>
      <c r="K14" s="16">
        <f t="shared" si="1"/>
        <v>976.72</v>
      </c>
      <c r="L14"/>
      <c r="M14"/>
      <c r="O14" s="15" t="s">
        <v>80</v>
      </c>
    </row>
    <row r="15" spans="1:26" ht="14.4" x14ac:dyDescent="0.3">
      <c r="A15" s="35" t="s">
        <v>42</v>
      </c>
      <c r="B15" s="12" t="s">
        <v>16</v>
      </c>
      <c r="C15" s="12" t="s">
        <v>13</v>
      </c>
      <c r="D15" s="12" t="s">
        <v>29</v>
      </c>
      <c r="E15" s="12">
        <v>822.28</v>
      </c>
      <c r="F15" s="12">
        <v>7</v>
      </c>
      <c r="G15" s="12">
        <v>0.05</v>
      </c>
      <c r="H15" s="13">
        <v>45406</v>
      </c>
      <c r="I15" s="37">
        <v>273.41000000000003</v>
      </c>
      <c r="J15" s="25">
        <f t="shared" si="0"/>
        <v>974.71638297872289</v>
      </c>
      <c r="K15" s="16">
        <f t="shared" si="1"/>
        <v>973.26</v>
      </c>
      <c r="L15"/>
      <c r="M15"/>
      <c r="O15" s="17">
        <f ca="1">NOW()</f>
        <v>46013.634985763892</v>
      </c>
    </row>
    <row r="16" spans="1:26" ht="14.4" x14ac:dyDescent="0.3">
      <c r="A16" s="35" t="s">
        <v>43</v>
      </c>
      <c r="B16" s="12" t="s">
        <v>44</v>
      </c>
      <c r="C16" s="12" t="s">
        <v>26</v>
      </c>
      <c r="D16" s="12" t="s">
        <v>29</v>
      </c>
      <c r="E16" s="12">
        <v>521.66999999999996</v>
      </c>
      <c r="F16" s="12">
        <v>15</v>
      </c>
      <c r="G16" s="12">
        <v>0.15</v>
      </c>
      <c r="H16" s="13">
        <v>45409</v>
      </c>
      <c r="I16" s="37">
        <v>155.19999999999999</v>
      </c>
      <c r="J16" s="25">
        <f t="shared" si="0"/>
        <v>973.55668449197799</v>
      </c>
      <c r="K16" s="16">
        <f t="shared" si="1"/>
        <v>976.72</v>
      </c>
      <c r="L16"/>
      <c r="M16"/>
      <c r="O16" s="18"/>
    </row>
    <row r="17" spans="1:16" ht="14.4" x14ac:dyDescent="0.3">
      <c r="A17" s="35" t="s">
        <v>21</v>
      </c>
      <c r="B17" s="12" t="s">
        <v>45</v>
      </c>
      <c r="C17" s="12" t="s">
        <v>22</v>
      </c>
      <c r="D17" s="12" t="s">
        <v>23</v>
      </c>
      <c r="E17" s="12">
        <v>1502.93</v>
      </c>
      <c r="F17" s="12">
        <v>14</v>
      </c>
      <c r="G17" s="12">
        <v>0.2</v>
      </c>
      <c r="H17" s="13">
        <v>45410</v>
      </c>
      <c r="I17" s="37">
        <v>300.58999999999997</v>
      </c>
      <c r="J17" s="25">
        <f t="shared" si="0"/>
        <v>974.36999999999944</v>
      </c>
      <c r="K17" s="16">
        <f t="shared" si="1"/>
        <v>980.18</v>
      </c>
      <c r="L17"/>
      <c r="M17"/>
    </row>
    <row r="18" spans="1:16" ht="14.4" x14ac:dyDescent="0.3">
      <c r="A18" s="35" t="s">
        <v>46</v>
      </c>
      <c r="B18" s="12" t="s">
        <v>16</v>
      </c>
      <c r="C18" s="12" t="s">
        <v>22</v>
      </c>
      <c r="D18" s="12" t="s">
        <v>14</v>
      </c>
      <c r="E18" s="12">
        <v>877.58</v>
      </c>
      <c r="F18" s="12">
        <v>10</v>
      </c>
      <c r="G18" s="12">
        <v>0.15</v>
      </c>
      <c r="H18" s="13">
        <v>45411</v>
      </c>
      <c r="I18" s="37">
        <v>298.38</v>
      </c>
      <c r="J18" s="25">
        <f t="shared" si="0"/>
        <v>976.81702702702637</v>
      </c>
      <c r="K18" s="16">
        <f t="shared" si="1"/>
        <v>976.72</v>
      </c>
      <c r="L18"/>
      <c r="M18"/>
    </row>
    <row r="19" spans="1:16" ht="14.4" x14ac:dyDescent="0.3">
      <c r="A19" s="35" t="s">
        <v>30</v>
      </c>
      <c r="B19" s="12" t="s">
        <v>47</v>
      </c>
      <c r="C19" s="12" t="s">
        <v>13</v>
      </c>
      <c r="D19" s="12" t="s">
        <v>14</v>
      </c>
      <c r="E19" s="12">
        <v>636.70000000000005</v>
      </c>
      <c r="F19" s="12">
        <v>4</v>
      </c>
      <c r="G19" s="12">
        <v>0.2</v>
      </c>
      <c r="H19" s="13">
        <v>45411</v>
      </c>
      <c r="I19" s="37">
        <v>203.74</v>
      </c>
      <c r="J19" s="25">
        <f t="shared" si="0"/>
        <v>973.95771739130373</v>
      </c>
      <c r="K19" s="16">
        <f t="shared" si="1"/>
        <v>980.18</v>
      </c>
      <c r="L19"/>
      <c r="M19"/>
      <c r="O19" s="23" t="s">
        <v>78</v>
      </c>
      <c r="P19" s="24" t="s">
        <v>84</v>
      </c>
    </row>
    <row r="20" spans="1:16" ht="14.4" x14ac:dyDescent="0.3">
      <c r="A20" s="35" t="s">
        <v>48</v>
      </c>
      <c r="B20" s="12" t="s">
        <v>49</v>
      </c>
      <c r="C20" s="12" t="s">
        <v>13</v>
      </c>
      <c r="D20" s="12" t="s">
        <v>14</v>
      </c>
      <c r="E20" s="12">
        <v>1506.14</v>
      </c>
      <c r="F20" s="12">
        <v>13</v>
      </c>
      <c r="G20" s="12">
        <v>0.2</v>
      </c>
      <c r="H20" s="13">
        <v>45412</v>
      </c>
      <c r="I20" s="37">
        <v>481.96</v>
      </c>
      <c r="J20" s="25">
        <f t="shared" si="0"/>
        <v>974.48437158469892</v>
      </c>
      <c r="K20" s="16">
        <f t="shared" si="1"/>
        <v>980.69</v>
      </c>
      <c r="L20"/>
      <c r="M20"/>
      <c r="O20" s="6">
        <f>SUMIF($B:$B,B2,$E:$E)</f>
        <v>6255.7</v>
      </c>
      <c r="P20" s="8">
        <f>E2-(E2*G2)</f>
        <v>828.87199999999996</v>
      </c>
    </row>
    <row r="21" spans="1:16" ht="15.75" customHeight="1" x14ac:dyDescent="0.3">
      <c r="A21" s="35" t="s">
        <v>32</v>
      </c>
      <c r="B21" s="12" t="s">
        <v>33</v>
      </c>
      <c r="C21" s="12" t="s">
        <v>36</v>
      </c>
      <c r="D21" s="12" t="s">
        <v>23</v>
      </c>
      <c r="E21" s="12">
        <v>645.02</v>
      </c>
      <c r="F21" s="12">
        <v>4</v>
      </c>
      <c r="G21" s="12">
        <v>0</v>
      </c>
      <c r="H21" s="13">
        <v>45414</v>
      </c>
      <c r="I21" s="37">
        <v>161.26</v>
      </c>
      <c r="J21" s="25">
        <f t="shared" si="0"/>
        <v>976.34032967032908</v>
      </c>
      <c r="K21" s="16">
        <f t="shared" si="1"/>
        <v>980.18</v>
      </c>
      <c r="L21"/>
      <c r="M21"/>
      <c r="O21" s="6">
        <f>SUMIF($B:$B,B3,$E:$E)</f>
        <v>8331.8499999999985</v>
      </c>
      <c r="P21" s="8">
        <f t="shared" ref="P21:P29" si="3">E3-(E3*G3)</f>
        <v>881.024</v>
      </c>
    </row>
    <row r="22" spans="1:16" ht="15.75" customHeight="1" x14ac:dyDescent="0.3">
      <c r="A22" s="35" t="s">
        <v>27</v>
      </c>
      <c r="B22" s="12" t="s">
        <v>50</v>
      </c>
      <c r="C22" s="12" t="s">
        <v>22</v>
      </c>
      <c r="D22" s="12" t="s">
        <v>17</v>
      </c>
      <c r="E22" s="12">
        <v>953.3</v>
      </c>
      <c r="F22" s="12">
        <v>11</v>
      </c>
      <c r="G22" s="12">
        <v>0</v>
      </c>
      <c r="H22" s="13">
        <v>45415</v>
      </c>
      <c r="I22" s="37">
        <v>476.65</v>
      </c>
      <c r="J22" s="25">
        <f t="shared" si="0"/>
        <v>973.41325966850775</v>
      </c>
      <c r="K22" s="16">
        <f t="shared" si="1"/>
        <v>980.69</v>
      </c>
      <c r="L22"/>
      <c r="M22"/>
      <c r="O22" s="6">
        <f t="shared" ref="O22:O29" si="4">SUMIF($B:$B,B4,$E:$E)</f>
        <v>5615.2800000000007</v>
      </c>
      <c r="P22" s="8">
        <f t="shared" si="3"/>
        <v>713.34</v>
      </c>
    </row>
    <row r="23" spans="1:16" ht="15.75" customHeight="1" x14ac:dyDescent="0.3">
      <c r="A23" s="35" t="s">
        <v>51</v>
      </c>
      <c r="B23" s="12" t="s">
        <v>16</v>
      </c>
      <c r="C23" s="12" t="s">
        <v>26</v>
      </c>
      <c r="D23" s="12" t="s">
        <v>23</v>
      </c>
      <c r="E23" s="12">
        <v>388.56</v>
      </c>
      <c r="F23" s="12">
        <v>14</v>
      </c>
      <c r="G23" s="12">
        <v>0.15</v>
      </c>
      <c r="H23" s="13">
        <v>45416</v>
      </c>
      <c r="I23" s="37">
        <v>82.57</v>
      </c>
      <c r="J23" s="25">
        <f t="shared" si="0"/>
        <v>975.2376666666662</v>
      </c>
      <c r="K23" s="16">
        <f t="shared" si="1"/>
        <v>981.2</v>
      </c>
      <c r="L23"/>
      <c r="M23"/>
      <c r="O23" s="6">
        <f t="shared" si="4"/>
        <v>8331.8499999999985</v>
      </c>
      <c r="P23" s="8">
        <f t="shared" si="3"/>
        <v>646.79049999999995</v>
      </c>
    </row>
    <row r="24" spans="1:16" ht="15.75" customHeight="1" x14ac:dyDescent="0.3">
      <c r="A24" s="35" t="s">
        <v>11</v>
      </c>
      <c r="B24" s="12" t="s">
        <v>33</v>
      </c>
      <c r="C24" s="12" t="s">
        <v>13</v>
      </c>
      <c r="D24" s="12" t="s">
        <v>14</v>
      </c>
      <c r="E24" s="12">
        <v>743.17</v>
      </c>
      <c r="F24" s="12">
        <v>9</v>
      </c>
      <c r="G24" s="12">
        <v>0</v>
      </c>
      <c r="H24" s="13">
        <v>45416</v>
      </c>
      <c r="I24" s="37">
        <v>297.27</v>
      </c>
      <c r="J24" s="25">
        <f t="shared" si="0"/>
        <v>975.36022346368657</v>
      </c>
      <c r="K24" s="16">
        <f t="shared" si="1"/>
        <v>982.27</v>
      </c>
      <c r="L24"/>
      <c r="M24"/>
      <c r="O24" s="6">
        <f t="shared" si="4"/>
        <v>20774.739999999998</v>
      </c>
      <c r="P24" s="8">
        <f t="shared" si="3"/>
        <v>677.6</v>
      </c>
    </row>
    <row r="25" spans="1:16" ht="15.75" customHeight="1" x14ac:dyDescent="0.3">
      <c r="A25" s="35" t="s">
        <v>42</v>
      </c>
      <c r="B25" s="12" t="s">
        <v>33</v>
      </c>
      <c r="C25" s="12" t="s">
        <v>36</v>
      </c>
      <c r="D25" s="12" t="s">
        <v>23</v>
      </c>
      <c r="E25" s="12">
        <v>706.37</v>
      </c>
      <c r="F25" s="12">
        <v>6</v>
      </c>
      <c r="G25" s="12">
        <v>0</v>
      </c>
      <c r="H25" s="13">
        <v>45416</v>
      </c>
      <c r="I25" s="37">
        <v>176.59</v>
      </c>
      <c r="J25" s="25">
        <f t="shared" si="0"/>
        <v>978.65685393258366</v>
      </c>
      <c r="K25" s="16">
        <f t="shared" si="1"/>
        <v>983.34</v>
      </c>
      <c r="L25"/>
      <c r="M25"/>
      <c r="O25" s="6">
        <f t="shared" si="4"/>
        <v>7881.9</v>
      </c>
      <c r="P25" s="8">
        <f t="shared" si="3"/>
        <v>869.07600000000002</v>
      </c>
    </row>
    <row r="26" spans="1:16" ht="15.75" customHeight="1" x14ac:dyDescent="0.3">
      <c r="A26" s="35" t="s">
        <v>15</v>
      </c>
      <c r="B26" s="12" t="s">
        <v>33</v>
      </c>
      <c r="C26" s="12" t="s">
        <v>36</v>
      </c>
      <c r="D26" s="12" t="s">
        <v>41</v>
      </c>
      <c r="E26" s="12">
        <v>925.31</v>
      </c>
      <c r="F26" s="12">
        <v>8</v>
      </c>
      <c r="G26" s="12">
        <v>0.1</v>
      </c>
      <c r="H26" s="13">
        <v>45418</v>
      </c>
      <c r="I26" s="37">
        <v>374.75</v>
      </c>
      <c r="J26" s="25">
        <f t="shared" si="0"/>
        <v>979.98728813559251</v>
      </c>
      <c r="K26" s="16">
        <f t="shared" si="1"/>
        <v>984.13499999999999</v>
      </c>
      <c r="L26"/>
      <c r="M26"/>
      <c r="O26" s="6">
        <f t="shared" si="4"/>
        <v>9970.1999999999989</v>
      </c>
      <c r="P26" s="8">
        <f t="shared" si="3"/>
        <v>1251.6534999999999</v>
      </c>
    </row>
    <row r="27" spans="1:16" ht="15.75" customHeight="1" x14ac:dyDescent="0.3">
      <c r="A27" s="35" t="s">
        <v>37</v>
      </c>
      <c r="B27" s="12" t="s">
        <v>52</v>
      </c>
      <c r="C27" s="12" t="s">
        <v>22</v>
      </c>
      <c r="D27" s="12" t="s">
        <v>23</v>
      </c>
      <c r="E27" s="12">
        <v>1173.1199999999999</v>
      </c>
      <c r="F27" s="12">
        <v>18</v>
      </c>
      <c r="G27" s="12">
        <v>0</v>
      </c>
      <c r="H27" s="13">
        <v>45418</v>
      </c>
      <c r="I27" s="37">
        <v>293.27999999999997</v>
      </c>
      <c r="J27" s="25">
        <f t="shared" si="0"/>
        <v>981.54193181818118</v>
      </c>
      <c r="K27" s="16">
        <f t="shared" si="1"/>
        <v>984.93</v>
      </c>
      <c r="L27"/>
      <c r="M27"/>
      <c r="O27" s="6">
        <f t="shared" si="4"/>
        <v>17143.289999999997</v>
      </c>
      <c r="P27" s="8">
        <f t="shared" si="3"/>
        <v>859.57600000000002</v>
      </c>
    </row>
    <row r="28" spans="1:16" ht="15.75" customHeight="1" x14ac:dyDescent="0.3">
      <c r="A28" s="35" t="s">
        <v>24</v>
      </c>
      <c r="B28" s="12" t="s">
        <v>53</v>
      </c>
      <c r="C28" s="12" t="s">
        <v>26</v>
      </c>
      <c r="D28" s="12" t="s">
        <v>29</v>
      </c>
      <c r="E28" s="12">
        <v>675.54</v>
      </c>
      <c r="F28" s="12">
        <v>17</v>
      </c>
      <c r="G28" s="12">
        <v>0</v>
      </c>
      <c r="H28" s="13">
        <v>45420</v>
      </c>
      <c r="I28" s="37">
        <v>236.44</v>
      </c>
      <c r="J28" s="25">
        <f t="shared" si="0"/>
        <v>981.8632571428567</v>
      </c>
      <c r="K28" s="16">
        <f t="shared" si="1"/>
        <v>984.13499999999999</v>
      </c>
      <c r="L28"/>
      <c r="M28"/>
      <c r="O28" s="6">
        <f t="shared" si="4"/>
        <v>3968.59</v>
      </c>
      <c r="P28" s="8">
        <f t="shared" si="3"/>
        <v>476.46300000000002</v>
      </c>
    </row>
    <row r="29" spans="1:16" ht="15.75" customHeight="1" x14ac:dyDescent="0.3">
      <c r="A29" s="35" t="s">
        <v>27</v>
      </c>
      <c r="B29" s="12" t="s">
        <v>16</v>
      </c>
      <c r="C29" s="12" t="s">
        <v>36</v>
      </c>
      <c r="D29" s="12" t="s">
        <v>14</v>
      </c>
      <c r="E29" s="12">
        <v>939.09</v>
      </c>
      <c r="F29" s="12">
        <v>2</v>
      </c>
      <c r="G29" s="12">
        <v>0.05</v>
      </c>
      <c r="H29" s="13">
        <v>45422</v>
      </c>
      <c r="I29" s="37">
        <v>356.85</v>
      </c>
      <c r="J29" s="25">
        <f t="shared" si="0"/>
        <v>980.76408045976984</v>
      </c>
      <c r="K29" s="16">
        <f t="shared" si="1"/>
        <v>984.93</v>
      </c>
      <c r="L29"/>
      <c r="M29"/>
      <c r="O29" s="6">
        <f t="shared" si="4"/>
        <v>7020.3799999999992</v>
      </c>
      <c r="P29" s="8">
        <f t="shared" si="3"/>
        <v>700.44449999999995</v>
      </c>
    </row>
    <row r="30" spans="1:16" ht="15.75" customHeight="1" x14ac:dyDescent="0.3">
      <c r="A30" s="35" t="s">
        <v>54</v>
      </c>
      <c r="B30" s="12" t="s">
        <v>55</v>
      </c>
      <c r="C30" s="12" t="s">
        <v>20</v>
      </c>
      <c r="D30" s="12" t="s">
        <v>41</v>
      </c>
      <c r="E30" s="12">
        <v>983.34</v>
      </c>
      <c r="F30" s="12">
        <v>19</v>
      </c>
      <c r="G30" s="12">
        <v>0.1</v>
      </c>
      <c r="H30" s="13">
        <v>45426</v>
      </c>
      <c r="I30" s="37">
        <v>398.25</v>
      </c>
      <c r="J30" s="25">
        <f t="shared" si="0"/>
        <v>982.52838150288983</v>
      </c>
      <c r="K30" s="16">
        <f t="shared" si="1"/>
        <v>987.56</v>
      </c>
      <c r="L30"/>
      <c r="M30"/>
    </row>
    <row r="31" spans="1:16" ht="15.75" customHeight="1" x14ac:dyDescent="0.3">
      <c r="A31" s="35" t="s">
        <v>54</v>
      </c>
      <c r="B31" s="12" t="s">
        <v>25</v>
      </c>
      <c r="C31" s="12" t="s">
        <v>22</v>
      </c>
      <c r="D31" s="12" t="s">
        <v>23</v>
      </c>
      <c r="E31" s="12">
        <v>801.21</v>
      </c>
      <c r="F31" s="12">
        <v>3</v>
      </c>
      <c r="G31" s="12">
        <v>0.2</v>
      </c>
      <c r="H31" s="13">
        <v>45426</v>
      </c>
      <c r="I31" s="37">
        <v>160.24</v>
      </c>
      <c r="J31" s="25">
        <f t="shared" si="0"/>
        <v>982.78093023255781</v>
      </c>
      <c r="K31" s="16">
        <f t="shared" si="1"/>
        <v>990.19</v>
      </c>
      <c r="L31"/>
      <c r="M31"/>
    </row>
    <row r="32" spans="1:16" ht="15.75" customHeight="1" x14ac:dyDescent="0.3">
      <c r="A32" s="35" t="s">
        <v>56</v>
      </c>
      <c r="B32" s="12" t="s">
        <v>57</v>
      </c>
      <c r="C32" s="12" t="s">
        <v>26</v>
      </c>
      <c r="D32" s="12" t="s">
        <v>23</v>
      </c>
      <c r="E32" s="12">
        <v>1450.71</v>
      </c>
      <c r="F32" s="12">
        <v>5</v>
      </c>
      <c r="G32" s="12">
        <v>0.1</v>
      </c>
      <c r="H32" s="13">
        <v>45427</v>
      </c>
      <c r="I32" s="37">
        <v>326.41000000000003</v>
      </c>
      <c r="J32" s="25">
        <f t="shared" si="0"/>
        <v>982.77766081871312</v>
      </c>
      <c r="K32" s="16">
        <f t="shared" si="1"/>
        <v>993.90000000000009</v>
      </c>
      <c r="L32"/>
      <c r="M32"/>
    </row>
    <row r="33" spans="1:13" ht="15.75" customHeight="1" x14ac:dyDescent="0.3">
      <c r="A33" s="35" t="s">
        <v>51</v>
      </c>
      <c r="B33" s="12" t="s">
        <v>58</v>
      </c>
      <c r="C33" s="12" t="s">
        <v>36</v>
      </c>
      <c r="D33" s="12" t="s">
        <v>14</v>
      </c>
      <c r="E33" s="12">
        <v>1023.21</v>
      </c>
      <c r="F33" s="12">
        <v>18</v>
      </c>
      <c r="G33" s="12">
        <v>0.05</v>
      </c>
      <c r="H33" s="13">
        <v>45428</v>
      </c>
      <c r="I33" s="37">
        <v>388.82</v>
      </c>
      <c r="J33" s="25">
        <f t="shared" si="0"/>
        <v>983.84570588235272</v>
      </c>
      <c r="K33" s="16">
        <f t="shared" si="1"/>
        <v>990.19</v>
      </c>
      <c r="L33"/>
      <c r="M33"/>
    </row>
    <row r="34" spans="1:13" ht="15.75" customHeight="1" x14ac:dyDescent="0.3">
      <c r="A34" s="35" t="s">
        <v>30</v>
      </c>
      <c r="B34" s="12" t="s">
        <v>49</v>
      </c>
      <c r="C34" s="12" t="s">
        <v>13</v>
      </c>
      <c r="D34" s="12" t="s">
        <v>29</v>
      </c>
      <c r="E34" s="12">
        <v>853.72</v>
      </c>
      <c r="F34" s="12">
        <v>5</v>
      </c>
      <c r="G34" s="12">
        <v>0.15</v>
      </c>
      <c r="H34" s="13">
        <v>45428</v>
      </c>
      <c r="I34" s="37">
        <v>253.98</v>
      </c>
      <c r="J34" s="25">
        <f t="shared" si="0"/>
        <v>981.08319526627179</v>
      </c>
      <c r="K34" s="16">
        <f t="shared" si="1"/>
        <v>987.56</v>
      </c>
      <c r="L34"/>
      <c r="M34"/>
    </row>
    <row r="35" spans="1:13" ht="15.75" customHeight="1" x14ac:dyDescent="0.3">
      <c r="A35" s="35" t="s">
        <v>59</v>
      </c>
      <c r="B35" s="12" t="s">
        <v>45</v>
      </c>
      <c r="C35" s="12" t="s">
        <v>22</v>
      </c>
      <c r="D35" s="12" t="s">
        <v>23</v>
      </c>
      <c r="E35" s="12">
        <v>967.89</v>
      </c>
      <c r="F35" s="12">
        <v>10</v>
      </c>
      <c r="G35" s="12">
        <v>0.1</v>
      </c>
      <c r="H35" s="13">
        <v>45429</v>
      </c>
      <c r="I35" s="37">
        <v>217.78</v>
      </c>
      <c r="J35" s="25">
        <f t="shared" si="0"/>
        <v>980.83244047619019</v>
      </c>
      <c r="K35" s="16">
        <f t="shared" si="1"/>
        <v>990.19</v>
      </c>
      <c r="L35"/>
      <c r="M35"/>
    </row>
    <row r="36" spans="1:13" ht="15.75" customHeight="1" x14ac:dyDescent="0.3">
      <c r="A36" s="35" t="s">
        <v>60</v>
      </c>
      <c r="B36" s="12" t="s">
        <v>55</v>
      </c>
      <c r="C36" s="12" t="s">
        <v>26</v>
      </c>
      <c r="D36" s="12" t="s">
        <v>41</v>
      </c>
      <c r="E36" s="12">
        <v>1200.9000000000001</v>
      </c>
      <c r="F36" s="12">
        <v>14</v>
      </c>
      <c r="G36" s="12">
        <v>0.05</v>
      </c>
      <c r="H36" s="13">
        <v>45429</v>
      </c>
      <c r="I36" s="37">
        <v>513.38</v>
      </c>
      <c r="J36" s="25">
        <f t="shared" si="0"/>
        <v>981.59359281437094</v>
      </c>
      <c r="K36" s="16">
        <f t="shared" si="1"/>
        <v>993.90000000000009</v>
      </c>
      <c r="L36"/>
      <c r="M36"/>
    </row>
    <row r="37" spans="1:13" ht="15.75" customHeight="1" x14ac:dyDescent="0.3">
      <c r="A37" s="35" t="s">
        <v>15</v>
      </c>
      <c r="B37" s="12" t="s">
        <v>28</v>
      </c>
      <c r="C37" s="12" t="s">
        <v>13</v>
      </c>
      <c r="D37" s="12" t="s">
        <v>14</v>
      </c>
      <c r="E37" s="12">
        <v>472.38</v>
      </c>
      <c r="F37" s="12">
        <v>12</v>
      </c>
      <c r="G37" s="12">
        <v>0.2</v>
      </c>
      <c r="H37" s="13">
        <v>45429</v>
      </c>
      <c r="I37" s="37">
        <v>151.16</v>
      </c>
      <c r="J37" s="25">
        <f t="shared" si="0"/>
        <v>981.67614457831303</v>
      </c>
      <c r="K37" s="16">
        <f t="shared" si="1"/>
        <v>990.19</v>
      </c>
      <c r="L37"/>
      <c r="M37"/>
    </row>
    <row r="38" spans="1:13" ht="15.75" customHeight="1" x14ac:dyDescent="0.3">
      <c r="A38" s="35" t="s">
        <v>11</v>
      </c>
      <c r="B38" s="12" t="s">
        <v>57</v>
      </c>
      <c r="C38" s="12" t="s">
        <v>20</v>
      </c>
      <c r="D38" s="12" t="s">
        <v>41</v>
      </c>
      <c r="E38" s="12">
        <v>840.92</v>
      </c>
      <c r="F38" s="12">
        <v>9</v>
      </c>
      <c r="G38" s="12">
        <v>0.05</v>
      </c>
      <c r="H38" s="13">
        <v>45429</v>
      </c>
      <c r="I38" s="37">
        <v>359.49</v>
      </c>
      <c r="J38" s="25">
        <f t="shared" si="0"/>
        <v>980.34751515151481</v>
      </c>
      <c r="K38" s="16">
        <f t="shared" si="1"/>
        <v>993.90000000000009</v>
      </c>
      <c r="L38"/>
      <c r="M38"/>
    </row>
    <row r="39" spans="1:13" ht="15.75" customHeight="1" x14ac:dyDescent="0.3">
      <c r="A39" s="35" t="s">
        <v>54</v>
      </c>
      <c r="B39" s="12" t="s">
        <v>50</v>
      </c>
      <c r="C39" s="12" t="s">
        <v>36</v>
      </c>
      <c r="D39" s="12" t="s">
        <v>29</v>
      </c>
      <c r="E39" s="12">
        <v>1410.06</v>
      </c>
      <c r="F39" s="12">
        <v>11</v>
      </c>
      <c r="G39" s="12">
        <v>0.05</v>
      </c>
      <c r="H39" s="13">
        <v>45434</v>
      </c>
      <c r="I39" s="37">
        <v>468.84</v>
      </c>
      <c r="J39" s="25">
        <f t="shared" si="0"/>
        <v>983.44487804878008</v>
      </c>
      <c r="K39" s="16">
        <f t="shared" si="1"/>
        <v>997.61</v>
      </c>
      <c r="L39"/>
      <c r="M39"/>
    </row>
    <row r="40" spans="1:13" ht="15.75" customHeight="1" x14ac:dyDescent="0.3">
      <c r="A40" s="35" t="s">
        <v>46</v>
      </c>
      <c r="B40" s="12" t="s">
        <v>61</v>
      </c>
      <c r="C40" s="12" t="s">
        <v>36</v>
      </c>
      <c r="D40" s="12" t="s">
        <v>29</v>
      </c>
      <c r="E40" s="12">
        <v>773.09</v>
      </c>
      <c r="F40" s="12">
        <v>13</v>
      </c>
      <c r="G40" s="12">
        <v>0.15</v>
      </c>
      <c r="H40" s="13">
        <v>45434</v>
      </c>
      <c r="I40" s="37">
        <v>229.99</v>
      </c>
      <c r="J40" s="25">
        <f t="shared" si="0"/>
        <v>984.31926380368054</v>
      </c>
      <c r="K40" s="16">
        <f t="shared" si="1"/>
        <v>993.90000000000009</v>
      </c>
      <c r="L40"/>
      <c r="M40"/>
    </row>
    <row r="41" spans="1:13" ht="15.75" customHeight="1" x14ac:dyDescent="0.3">
      <c r="A41" s="35" t="s">
        <v>62</v>
      </c>
      <c r="B41" s="12" t="s">
        <v>63</v>
      </c>
      <c r="C41" s="12" t="s">
        <v>20</v>
      </c>
      <c r="D41" s="12" t="s">
        <v>14</v>
      </c>
      <c r="E41" s="12">
        <v>580.42999999999995</v>
      </c>
      <c r="F41" s="12">
        <v>19</v>
      </c>
      <c r="G41" s="12">
        <v>0.15</v>
      </c>
      <c r="H41" s="13">
        <v>45435</v>
      </c>
      <c r="I41" s="37">
        <v>197.35</v>
      </c>
      <c r="J41" s="25">
        <f t="shared" si="0"/>
        <v>981.69123456790089</v>
      </c>
      <c r="K41" s="16">
        <f t="shared" si="1"/>
        <v>997.61</v>
      </c>
      <c r="L41"/>
      <c r="M41"/>
    </row>
    <row r="42" spans="1:13" ht="15.75" customHeight="1" x14ac:dyDescent="0.3">
      <c r="A42" s="35" t="s">
        <v>21</v>
      </c>
      <c r="B42" s="12" t="s">
        <v>44</v>
      </c>
      <c r="C42" s="12" t="s">
        <v>22</v>
      </c>
      <c r="D42" s="12" t="s">
        <v>14</v>
      </c>
      <c r="E42" s="12">
        <v>1151.21</v>
      </c>
      <c r="F42" s="12">
        <v>15</v>
      </c>
      <c r="G42" s="12">
        <v>0.1</v>
      </c>
      <c r="H42" s="13">
        <v>45445</v>
      </c>
      <c r="I42" s="37">
        <v>414.44</v>
      </c>
      <c r="J42" s="25">
        <f t="shared" si="0"/>
        <v>982.98689440993758</v>
      </c>
      <c r="K42" s="16">
        <f t="shared" si="1"/>
        <v>999.59</v>
      </c>
      <c r="L42"/>
      <c r="M42"/>
    </row>
    <row r="43" spans="1:13" ht="15.75" customHeight="1" x14ac:dyDescent="0.3">
      <c r="A43" s="35" t="s">
        <v>54</v>
      </c>
      <c r="B43" s="12" t="s">
        <v>25</v>
      </c>
      <c r="C43" s="12" t="s">
        <v>36</v>
      </c>
      <c r="D43" s="12" t="s">
        <v>41</v>
      </c>
      <c r="E43" s="12">
        <v>1025.98</v>
      </c>
      <c r="F43" s="12">
        <v>5</v>
      </c>
      <c r="G43" s="12">
        <v>0.2</v>
      </c>
      <c r="H43" s="13">
        <v>45447</v>
      </c>
      <c r="I43" s="37">
        <v>369.35</v>
      </c>
      <c r="J43" s="25">
        <f t="shared" si="0"/>
        <v>985.50287499999979</v>
      </c>
      <c r="K43" s="16">
        <f t="shared" si="1"/>
        <v>997.61</v>
      </c>
      <c r="L43"/>
      <c r="M43"/>
    </row>
    <row r="44" spans="1:13" ht="15.75" customHeight="1" x14ac:dyDescent="0.3">
      <c r="A44" s="35" t="s">
        <v>42</v>
      </c>
      <c r="B44" s="12" t="s">
        <v>58</v>
      </c>
      <c r="C44" s="12" t="s">
        <v>20</v>
      </c>
      <c r="D44" s="12" t="s">
        <v>41</v>
      </c>
      <c r="E44" s="12">
        <v>556.41999999999996</v>
      </c>
      <c r="F44" s="12">
        <v>11</v>
      </c>
      <c r="G44" s="12">
        <v>0.15</v>
      </c>
      <c r="H44" s="13">
        <v>45447</v>
      </c>
      <c r="I44" s="37">
        <v>212.83</v>
      </c>
      <c r="J44" s="25">
        <f t="shared" si="0"/>
        <v>984.46069182389942</v>
      </c>
      <c r="K44" s="16">
        <f t="shared" si="1"/>
        <v>993.90000000000009</v>
      </c>
      <c r="L44"/>
      <c r="M44"/>
    </row>
    <row r="45" spans="1:13" ht="15.75" customHeight="1" x14ac:dyDescent="0.3">
      <c r="A45" s="35" t="s">
        <v>59</v>
      </c>
      <c r="B45" s="12" t="s">
        <v>25</v>
      </c>
      <c r="C45" s="12" t="s">
        <v>36</v>
      </c>
      <c r="D45" s="12" t="s">
        <v>14</v>
      </c>
      <c r="E45" s="12">
        <v>840.85</v>
      </c>
      <c r="F45" s="12">
        <v>19</v>
      </c>
      <c r="G45" s="12">
        <v>0.1</v>
      </c>
      <c r="H45" s="13">
        <v>45448</v>
      </c>
      <c r="I45" s="37">
        <v>302.70999999999998</v>
      </c>
      <c r="J45" s="25">
        <f t="shared" si="0"/>
        <v>984.19791139240499</v>
      </c>
      <c r="K45" s="16">
        <f t="shared" si="1"/>
        <v>997.61</v>
      </c>
      <c r="L45"/>
      <c r="M45"/>
    </row>
    <row r="46" spans="1:13" ht="15.75" customHeight="1" x14ac:dyDescent="0.3">
      <c r="A46" s="35" t="s">
        <v>32</v>
      </c>
      <c r="B46" s="12" t="s">
        <v>63</v>
      </c>
      <c r="C46" s="12" t="s">
        <v>26</v>
      </c>
      <c r="D46" s="12" t="s">
        <v>29</v>
      </c>
      <c r="E46" s="12">
        <v>1227.25</v>
      </c>
      <c r="F46" s="12">
        <v>12</v>
      </c>
      <c r="G46" s="12">
        <v>0.15</v>
      </c>
      <c r="H46" s="13">
        <v>45448</v>
      </c>
      <c r="I46" s="37">
        <v>365.11</v>
      </c>
      <c r="J46" s="25">
        <f t="shared" si="0"/>
        <v>986.92261146496799</v>
      </c>
      <c r="K46" s="16">
        <f t="shared" si="1"/>
        <v>999.59</v>
      </c>
      <c r="L46"/>
      <c r="M46"/>
    </row>
    <row r="47" spans="1:13" ht="15.75" customHeight="1" x14ac:dyDescent="0.3">
      <c r="A47" s="35" t="s">
        <v>18</v>
      </c>
      <c r="B47" s="12" t="s">
        <v>64</v>
      </c>
      <c r="C47" s="12" t="s">
        <v>36</v>
      </c>
      <c r="D47" s="12" t="s">
        <v>23</v>
      </c>
      <c r="E47" s="12">
        <v>856.7</v>
      </c>
      <c r="F47" s="12">
        <v>2</v>
      </c>
      <c r="G47" s="12">
        <v>0</v>
      </c>
      <c r="H47" s="13">
        <v>45449</v>
      </c>
      <c r="I47" s="37">
        <v>214.18</v>
      </c>
      <c r="J47" s="25">
        <f t="shared" si="0"/>
        <v>987.85897435897414</v>
      </c>
      <c r="K47" s="16">
        <f t="shared" si="1"/>
        <v>997.61</v>
      </c>
      <c r="L47"/>
      <c r="M47"/>
    </row>
    <row r="48" spans="1:13" ht="15.75" customHeight="1" x14ac:dyDescent="0.3">
      <c r="A48" s="35" t="s">
        <v>56</v>
      </c>
      <c r="B48" s="12" t="s">
        <v>58</v>
      </c>
      <c r="C48" s="12" t="s">
        <v>36</v>
      </c>
      <c r="D48" s="12" t="s">
        <v>41</v>
      </c>
      <c r="E48" s="12">
        <v>1225.42</v>
      </c>
      <c r="F48" s="12">
        <v>8</v>
      </c>
      <c r="G48" s="12">
        <v>0.15</v>
      </c>
      <c r="H48" s="13">
        <v>45449</v>
      </c>
      <c r="I48" s="37">
        <v>468.72</v>
      </c>
      <c r="J48" s="25">
        <f t="shared" si="0"/>
        <v>986.31451612903231</v>
      </c>
      <c r="K48" s="16">
        <f t="shared" si="1"/>
        <v>999.59</v>
      </c>
      <c r="L48"/>
      <c r="M48"/>
    </row>
    <row r="49" spans="1:13" ht="15.75" customHeight="1" x14ac:dyDescent="0.3">
      <c r="A49" s="35" t="s">
        <v>65</v>
      </c>
      <c r="B49" s="12" t="s">
        <v>33</v>
      </c>
      <c r="C49" s="12" t="s">
        <v>26</v>
      </c>
      <c r="D49" s="12" t="s">
        <v>41</v>
      </c>
      <c r="E49" s="12">
        <v>1001.57</v>
      </c>
      <c r="F49" s="12">
        <v>12</v>
      </c>
      <c r="G49" s="12">
        <v>0</v>
      </c>
      <c r="H49" s="13">
        <v>45450</v>
      </c>
      <c r="I49" s="37">
        <v>450.71</v>
      </c>
      <c r="J49" s="25">
        <f t="shared" si="0"/>
        <v>987.15616883116877</v>
      </c>
      <c r="K49" s="16">
        <f t="shared" si="1"/>
        <v>997.61</v>
      </c>
      <c r="L49"/>
      <c r="M49"/>
    </row>
    <row r="50" spans="1:13" ht="15.75" customHeight="1" x14ac:dyDescent="0.3">
      <c r="A50" s="35" t="s">
        <v>59</v>
      </c>
      <c r="B50" s="12" t="s">
        <v>28</v>
      </c>
      <c r="C50" s="12" t="s">
        <v>20</v>
      </c>
      <c r="D50" s="12" t="s">
        <v>29</v>
      </c>
      <c r="E50" s="12">
        <v>1186.8499999999999</v>
      </c>
      <c r="F50" s="12">
        <v>19</v>
      </c>
      <c r="G50" s="12">
        <v>0.2</v>
      </c>
      <c r="H50" s="13">
        <v>45451</v>
      </c>
      <c r="I50" s="37">
        <v>332.32</v>
      </c>
      <c r="J50" s="25">
        <f t="shared" si="0"/>
        <v>985.59888888888872</v>
      </c>
      <c r="K50" s="16">
        <f t="shared" si="1"/>
        <v>993.90000000000009</v>
      </c>
      <c r="L50"/>
      <c r="M50"/>
    </row>
    <row r="51" spans="1:13" ht="15.75" customHeight="1" x14ac:dyDescent="0.3">
      <c r="A51" s="35" t="s">
        <v>46</v>
      </c>
      <c r="B51" s="12" t="s">
        <v>53</v>
      </c>
      <c r="C51" s="12" t="s">
        <v>22</v>
      </c>
      <c r="D51" s="12" t="s">
        <v>23</v>
      </c>
      <c r="E51" s="12">
        <v>775.45</v>
      </c>
      <c r="F51" s="12">
        <v>6</v>
      </c>
      <c r="G51" s="12">
        <v>0.1</v>
      </c>
      <c r="H51" s="13">
        <v>45457</v>
      </c>
      <c r="I51" s="37">
        <v>174.48</v>
      </c>
      <c r="J51" s="25">
        <f t="shared" si="0"/>
        <v>985.49381578947362</v>
      </c>
      <c r="K51" s="16">
        <f t="shared" si="1"/>
        <v>990.19</v>
      </c>
      <c r="L51"/>
      <c r="M51"/>
    </row>
    <row r="52" spans="1:13" ht="15.75" customHeight="1" x14ac:dyDescent="0.3">
      <c r="A52" s="35" t="s">
        <v>27</v>
      </c>
      <c r="B52" s="12" t="s">
        <v>35</v>
      </c>
      <c r="C52" s="12" t="s">
        <v>22</v>
      </c>
      <c r="D52" s="12" t="s">
        <v>23</v>
      </c>
      <c r="E52" s="12">
        <v>1021.47</v>
      </c>
      <c r="F52" s="12">
        <v>6</v>
      </c>
      <c r="G52" s="12">
        <v>0.05</v>
      </c>
      <c r="H52" s="13">
        <v>45461</v>
      </c>
      <c r="I52" s="37">
        <v>242.6</v>
      </c>
      <c r="J52" s="25">
        <f t="shared" si="0"/>
        <v>984.16033112582772</v>
      </c>
      <c r="K52" s="16">
        <f t="shared" si="1"/>
        <v>993.90000000000009</v>
      </c>
      <c r="L52"/>
      <c r="M52"/>
    </row>
    <row r="53" spans="1:13" ht="15.75" customHeight="1" x14ac:dyDescent="0.3">
      <c r="A53" s="35" t="s">
        <v>60</v>
      </c>
      <c r="B53" s="12" t="s">
        <v>25</v>
      </c>
      <c r="C53" s="12" t="s">
        <v>22</v>
      </c>
      <c r="D53" s="12" t="s">
        <v>17</v>
      </c>
      <c r="E53" s="12">
        <v>1226.6199999999999</v>
      </c>
      <c r="F53" s="12">
        <v>7</v>
      </c>
      <c r="G53" s="12">
        <v>0.1</v>
      </c>
      <c r="H53" s="13">
        <v>45463</v>
      </c>
      <c r="I53" s="37">
        <v>551.98</v>
      </c>
      <c r="J53" s="25">
        <f t="shared" si="0"/>
        <v>985.55173333333323</v>
      </c>
      <c r="K53" s="16">
        <f t="shared" si="1"/>
        <v>990.19</v>
      </c>
      <c r="L53"/>
      <c r="M53"/>
    </row>
    <row r="54" spans="1:13" ht="15.75" customHeight="1" x14ac:dyDescent="0.3">
      <c r="A54" s="35" t="s">
        <v>24</v>
      </c>
      <c r="B54" s="12" t="s">
        <v>66</v>
      </c>
      <c r="C54" s="12" t="s">
        <v>22</v>
      </c>
      <c r="D54" s="12" t="s">
        <v>29</v>
      </c>
      <c r="E54" s="12">
        <v>1086.93</v>
      </c>
      <c r="F54" s="12">
        <v>2</v>
      </c>
      <c r="G54" s="12">
        <v>0</v>
      </c>
      <c r="H54" s="13">
        <v>45464</v>
      </c>
      <c r="I54" s="37">
        <v>380.43</v>
      </c>
      <c r="J54" s="25">
        <f t="shared" si="0"/>
        <v>985.31067114093923</v>
      </c>
      <c r="K54" s="16">
        <f t="shared" si="1"/>
        <v>987.56</v>
      </c>
      <c r="L54"/>
      <c r="M54"/>
    </row>
    <row r="55" spans="1:13" ht="15.75" customHeight="1" x14ac:dyDescent="0.3">
      <c r="A55" s="35" t="s">
        <v>67</v>
      </c>
      <c r="B55" s="12" t="s">
        <v>50</v>
      </c>
      <c r="C55" s="12" t="s">
        <v>13</v>
      </c>
      <c r="D55" s="12" t="s">
        <v>14</v>
      </c>
      <c r="E55" s="12">
        <v>942.9</v>
      </c>
      <c r="F55" s="12">
        <v>18</v>
      </c>
      <c r="G55" s="12">
        <v>0.1</v>
      </c>
      <c r="H55" s="13">
        <v>45466</v>
      </c>
      <c r="I55" s="37">
        <v>339.44</v>
      </c>
      <c r="J55" s="25">
        <f t="shared" si="0"/>
        <v>983.68020270270245</v>
      </c>
      <c r="K55" s="16">
        <f t="shared" si="1"/>
        <v>984.93</v>
      </c>
      <c r="L55"/>
      <c r="M55"/>
    </row>
    <row r="56" spans="1:13" ht="15.75" customHeight="1" x14ac:dyDescent="0.3">
      <c r="A56" s="35" t="s">
        <v>34</v>
      </c>
      <c r="B56" s="12" t="s">
        <v>40</v>
      </c>
      <c r="C56" s="12" t="s">
        <v>26</v>
      </c>
      <c r="D56" s="12" t="s">
        <v>23</v>
      </c>
      <c r="E56" s="12">
        <v>818.8</v>
      </c>
      <c r="F56" s="12">
        <v>15</v>
      </c>
      <c r="G56" s="12">
        <v>0.15</v>
      </c>
      <c r="H56" s="13">
        <v>45468</v>
      </c>
      <c r="I56" s="37">
        <v>173.99</v>
      </c>
      <c r="J56" s="25">
        <f t="shared" si="0"/>
        <v>982.97782312925142</v>
      </c>
      <c r="K56" s="16">
        <f t="shared" si="1"/>
        <v>987.56</v>
      </c>
      <c r="L56"/>
      <c r="M56"/>
    </row>
    <row r="57" spans="1:13" ht="15.75" customHeight="1" x14ac:dyDescent="0.3">
      <c r="A57" s="35" t="s">
        <v>21</v>
      </c>
      <c r="B57" s="12" t="s">
        <v>16</v>
      </c>
      <c r="C57" s="12" t="s">
        <v>22</v>
      </c>
      <c r="D57" s="12" t="s">
        <v>29</v>
      </c>
      <c r="E57" s="12">
        <v>919.04</v>
      </c>
      <c r="F57" s="12">
        <v>10</v>
      </c>
      <c r="G57" s="12">
        <v>0.2</v>
      </c>
      <c r="H57" s="13">
        <v>45468</v>
      </c>
      <c r="I57" s="37">
        <v>257.33</v>
      </c>
      <c r="J57" s="25">
        <f t="shared" si="0"/>
        <v>983.25232876712312</v>
      </c>
      <c r="K57" s="16">
        <f t="shared" si="1"/>
        <v>990.19</v>
      </c>
      <c r="L57"/>
      <c r="M57"/>
    </row>
    <row r="58" spans="1:13" ht="15.75" customHeight="1" x14ac:dyDescent="0.3">
      <c r="A58" s="35" t="s">
        <v>24</v>
      </c>
      <c r="B58" s="12" t="s">
        <v>68</v>
      </c>
      <c r="C58" s="12" t="s">
        <v>36</v>
      </c>
      <c r="D58" s="12" t="s">
        <v>14</v>
      </c>
      <c r="E58" s="12">
        <v>973.26</v>
      </c>
      <c r="F58" s="12">
        <v>11</v>
      </c>
      <c r="G58" s="12">
        <v>0</v>
      </c>
      <c r="H58" s="13">
        <v>45470</v>
      </c>
      <c r="I58" s="37">
        <v>389.3</v>
      </c>
      <c r="J58" s="25">
        <f t="shared" si="0"/>
        <v>984.38648275862056</v>
      </c>
      <c r="K58" s="16">
        <f t="shared" si="1"/>
        <v>993.90000000000009</v>
      </c>
      <c r="L58"/>
      <c r="M58"/>
    </row>
    <row r="59" spans="1:13" ht="15.75" customHeight="1" x14ac:dyDescent="0.3">
      <c r="A59" s="35" t="s">
        <v>43</v>
      </c>
      <c r="B59" s="12" t="s">
        <v>66</v>
      </c>
      <c r="C59" s="12" t="s">
        <v>26</v>
      </c>
      <c r="D59" s="12" t="s">
        <v>23</v>
      </c>
      <c r="E59" s="12">
        <v>741.61</v>
      </c>
      <c r="F59" s="12">
        <v>1</v>
      </c>
      <c r="G59" s="12">
        <v>0.2</v>
      </c>
      <c r="H59" s="13">
        <v>45471</v>
      </c>
      <c r="I59" s="37">
        <v>148.32</v>
      </c>
      <c r="J59" s="25">
        <f t="shared" si="0"/>
        <v>984.8402777777776</v>
      </c>
      <c r="K59" s="16">
        <f t="shared" si="1"/>
        <v>997.61</v>
      </c>
      <c r="L59"/>
      <c r="M59"/>
    </row>
    <row r="60" spans="1:13" ht="15.75" customHeight="1" x14ac:dyDescent="0.3">
      <c r="A60" s="35" t="s">
        <v>69</v>
      </c>
      <c r="B60" s="12" t="s">
        <v>40</v>
      </c>
      <c r="C60" s="12" t="s">
        <v>26</v>
      </c>
      <c r="D60" s="12" t="s">
        <v>14</v>
      </c>
      <c r="E60" s="12">
        <v>1248.82</v>
      </c>
      <c r="F60" s="12">
        <v>2</v>
      </c>
      <c r="G60" s="12">
        <v>0.1</v>
      </c>
      <c r="H60" s="13">
        <v>45473</v>
      </c>
      <c r="I60" s="37">
        <v>449.58</v>
      </c>
      <c r="J60" s="25">
        <f t="shared" si="0"/>
        <v>984.9212587412585</v>
      </c>
      <c r="K60" s="16">
        <f t="shared" si="1"/>
        <v>1001.5699999999999</v>
      </c>
      <c r="L60"/>
      <c r="M60"/>
    </row>
    <row r="61" spans="1:13" ht="15.75" customHeight="1" x14ac:dyDescent="0.3">
      <c r="A61" s="35" t="s">
        <v>15</v>
      </c>
      <c r="B61" s="12" t="s">
        <v>61</v>
      </c>
      <c r="C61" s="12" t="s">
        <v>13</v>
      </c>
      <c r="D61" s="12" t="s">
        <v>17</v>
      </c>
      <c r="E61" s="12">
        <v>1360.36</v>
      </c>
      <c r="F61" s="12">
        <v>17</v>
      </c>
      <c r="G61" s="12">
        <v>0</v>
      </c>
      <c r="H61" s="13">
        <v>45473</v>
      </c>
      <c r="I61" s="37">
        <v>680.18</v>
      </c>
      <c r="J61" s="25">
        <f t="shared" si="0"/>
        <v>986.63471830985895</v>
      </c>
      <c r="K61" s="16">
        <f t="shared" si="1"/>
        <v>997.61</v>
      </c>
      <c r="L61"/>
      <c r="M61"/>
    </row>
    <row r="62" spans="1:13" ht="15.75" customHeight="1" x14ac:dyDescent="0.3">
      <c r="A62" s="35" t="s">
        <v>59</v>
      </c>
      <c r="B62" s="12" t="s">
        <v>33</v>
      </c>
      <c r="C62" s="12" t="s">
        <v>20</v>
      </c>
      <c r="D62" s="12" t="s">
        <v>14</v>
      </c>
      <c r="E62" s="12">
        <v>1383.3</v>
      </c>
      <c r="F62" s="12">
        <v>8</v>
      </c>
      <c r="G62" s="12">
        <v>0.1</v>
      </c>
      <c r="H62" s="13">
        <v>45478</v>
      </c>
      <c r="I62" s="37">
        <v>497.99</v>
      </c>
      <c r="J62" s="25">
        <f t="shared" si="0"/>
        <v>984.77524822695011</v>
      </c>
      <c r="K62" s="16">
        <f t="shared" si="1"/>
        <v>993.90000000000009</v>
      </c>
      <c r="L62"/>
      <c r="M62"/>
    </row>
    <row r="63" spans="1:13" ht="15.75" customHeight="1" x14ac:dyDescent="0.3">
      <c r="A63" s="35" t="s">
        <v>37</v>
      </c>
      <c r="B63" s="12" t="s">
        <v>57</v>
      </c>
      <c r="C63" s="12" t="s">
        <v>36</v>
      </c>
      <c r="D63" s="12" t="s">
        <v>41</v>
      </c>
      <c r="E63" s="12">
        <v>488.99</v>
      </c>
      <c r="F63" s="12">
        <v>9</v>
      </c>
      <c r="G63" s="12">
        <v>0</v>
      </c>
      <c r="H63" s="13">
        <v>45479</v>
      </c>
      <c r="I63" s="37">
        <v>220.05</v>
      </c>
      <c r="J63" s="25">
        <f t="shared" si="0"/>
        <v>982.09249999999963</v>
      </c>
      <c r="K63" s="16">
        <f t="shared" si="1"/>
        <v>990.19</v>
      </c>
      <c r="L63"/>
      <c r="M63"/>
    </row>
    <row r="64" spans="1:13" ht="15.75" customHeight="1" x14ac:dyDescent="0.3">
      <c r="A64" s="35" t="s">
        <v>32</v>
      </c>
      <c r="B64" s="12" t="s">
        <v>33</v>
      </c>
      <c r="C64" s="12" t="s">
        <v>20</v>
      </c>
      <c r="D64" s="12" t="s">
        <v>29</v>
      </c>
      <c r="E64" s="12">
        <v>933.71</v>
      </c>
      <c r="F64" s="12">
        <v>17</v>
      </c>
      <c r="G64" s="12">
        <v>0.1</v>
      </c>
      <c r="H64" s="13">
        <v>45481</v>
      </c>
      <c r="I64" s="37">
        <v>294.12</v>
      </c>
      <c r="J64" s="25">
        <f t="shared" si="0"/>
        <v>979.20611510791366</v>
      </c>
      <c r="K64" s="16">
        <f t="shared" si="1"/>
        <v>993.90000000000009</v>
      </c>
      <c r="L64"/>
      <c r="M64"/>
    </row>
    <row r="65" spans="1:13" ht="15.75" customHeight="1" x14ac:dyDescent="0.3">
      <c r="A65" s="35" t="s">
        <v>69</v>
      </c>
      <c r="B65" s="12" t="s">
        <v>12</v>
      </c>
      <c r="C65" s="12" t="s">
        <v>13</v>
      </c>
      <c r="D65" s="12" t="s">
        <v>23</v>
      </c>
      <c r="E65" s="12">
        <v>1005.53</v>
      </c>
      <c r="F65" s="12">
        <v>17</v>
      </c>
      <c r="G65" s="12">
        <v>0.2</v>
      </c>
      <c r="H65" s="13">
        <v>45481</v>
      </c>
      <c r="I65" s="37">
        <v>201.11</v>
      </c>
      <c r="J65" s="25">
        <f t="shared" si="0"/>
        <v>982.75840579710132</v>
      </c>
      <c r="K65" s="16">
        <f t="shared" si="1"/>
        <v>997.61</v>
      </c>
      <c r="L65"/>
      <c r="M65"/>
    </row>
    <row r="66" spans="1:13" ht="15.75" customHeight="1" x14ac:dyDescent="0.3">
      <c r="A66" s="35" t="s">
        <v>43</v>
      </c>
      <c r="B66" s="12" t="s">
        <v>63</v>
      </c>
      <c r="C66" s="12" t="s">
        <v>22</v>
      </c>
      <c r="D66" s="12" t="s">
        <v>23</v>
      </c>
      <c r="E66" s="12">
        <v>1100.0999999999999</v>
      </c>
      <c r="F66" s="12">
        <v>5</v>
      </c>
      <c r="G66" s="12">
        <v>0.05</v>
      </c>
      <c r="H66" s="13">
        <v>45482</v>
      </c>
      <c r="I66" s="37">
        <v>261.27</v>
      </c>
      <c r="J66" s="25">
        <f t="shared" si="0"/>
        <v>983.11642335766408</v>
      </c>
      <c r="K66" s="16">
        <f t="shared" si="1"/>
        <v>993.90000000000009</v>
      </c>
      <c r="L66"/>
      <c r="M66"/>
    </row>
    <row r="67" spans="1:13" ht="15.75" customHeight="1" x14ac:dyDescent="0.3">
      <c r="A67" s="35" t="s">
        <v>69</v>
      </c>
      <c r="B67" s="12" t="s">
        <v>25</v>
      </c>
      <c r="C67" s="12" t="s">
        <v>26</v>
      </c>
      <c r="D67" s="12" t="s">
        <v>29</v>
      </c>
      <c r="E67" s="12">
        <v>1034.7</v>
      </c>
      <c r="F67" s="12">
        <v>15</v>
      </c>
      <c r="G67" s="12">
        <v>0.15</v>
      </c>
      <c r="H67" s="13">
        <v>45487</v>
      </c>
      <c r="I67" s="37">
        <v>307.82</v>
      </c>
      <c r="J67" s="25">
        <f t="shared" ref="J67:J130" si="5">AVERAGE(E66:E265)</f>
        <v>982.9516176470587</v>
      </c>
      <c r="K67" s="16">
        <f t="shared" ref="K67:K130" si="6">MEDIAN(E67:E265)</f>
        <v>990.19</v>
      </c>
      <c r="L67"/>
      <c r="M67"/>
    </row>
    <row r="68" spans="1:13" ht="15.75" customHeight="1" x14ac:dyDescent="0.3">
      <c r="A68" s="35" t="s">
        <v>67</v>
      </c>
      <c r="B68" s="12" t="s">
        <v>33</v>
      </c>
      <c r="C68" s="12" t="s">
        <v>22</v>
      </c>
      <c r="D68" s="12" t="s">
        <v>14</v>
      </c>
      <c r="E68" s="12">
        <v>876.44</v>
      </c>
      <c r="F68" s="12">
        <v>12</v>
      </c>
      <c r="G68" s="12">
        <v>0.05</v>
      </c>
      <c r="H68" s="13">
        <v>45488</v>
      </c>
      <c r="I68" s="37">
        <v>333.05</v>
      </c>
      <c r="J68" s="25">
        <f t="shared" si="5"/>
        <v>982.08385185185193</v>
      </c>
      <c r="K68" s="16">
        <f t="shared" si="6"/>
        <v>987.56</v>
      </c>
      <c r="L68"/>
      <c r="M68"/>
    </row>
    <row r="69" spans="1:13" ht="15.75" customHeight="1" x14ac:dyDescent="0.3">
      <c r="A69" s="35" t="s">
        <v>70</v>
      </c>
      <c r="B69" s="12" t="s">
        <v>57</v>
      </c>
      <c r="C69" s="12" t="s">
        <v>13</v>
      </c>
      <c r="D69" s="12" t="s">
        <v>29</v>
      </c>
      <c r="E69" s="12">
        <v>1371.34</v>
      </c>
      <c r="F69" s="12">
        <v>5</v>
      </c>
      <c r="G69" s="12">
        <v>0.05</v>
      </c>
      <c r="H69" s="13">
        <v>45488</v>
      </c>
      <c r="I69" s="37">
        <v>455.97</v>
      </c>
      <c r="J69" s="25">
        <f t="shared" si="5"/>
        <v>981.69119402985098</v>
      </c>
      <c r="K69" s="16">
        <f t="shared" si="6"/>
        <v>990.19</v>
      </c>
      <c r="L69"/>
      <c r="M69"/>
    </row>
    <row r="70" spans="1:13" ht="15.75" customHeight="1" x14ac:dyDescent="0.3">
      <c r="A70" s="35" t="s">
        <v>59</v>
      </c>
      <c r="B70" s="12" t="s">
        <v>49</v>
      </c>
      <c r="C70" s="12" t="s">
        <v>26</v>
      </c>
      <c r="D70" s="12" t="s">
        <v>23</v>
      </c>
      <c r="E70" s="12">
        <v>1020.26</v>
      </c>
      <c r="F70" s="12">
        <v>11</v>
      </c>
      <c r="G70" s="12">
        <v>0.05</v>
      </c>
      <c r="H70" s="13">
        <v>45494</v>
      </c>
      <c r="I70" s="37">
        <v>242.31</v>
      </c>
      <c r="J70" s="25">
        <f t="shared" si="5"/>
        <v>982.48255639097761</v>
      </c>
      <c r="K70" s="16">
        <f t="shared" si="6"/>
        <v>987.56</v>
      </c>
      <c r="L70"/>
      <c r="M70"/>
    </row>
    <row r="71" spans="1:13" ht="15.75" customHeight="1" x14ac:dyDescent="0.3">
      <c r="A71" s="35" t="s">
        <v>46</v>
      </c>
      <c r="B71" s="12" t="s">
        <v>12</v>
      </c>
      <c r="C71" s="12" t="s">
        <v>36</v>
      </c>
      <c r="D71" s="12" t="s">
        <v>41</v>
      </c>
      <c r="E71" s="12">
        <v>804.81</v>
      </c>
      <c r="F71" s="12">
        <v>1</v>
      </c>
      <c r="G71" s="12">
        <v>0.05</v>
      </c>
      <c r="H71" s="13">
        <v>45502</v>
      </c>
      <c r="I71" s="37">
        <v>344.06</v>
      </c>
      <c r="J71" s="25">
        <f t="shared" si="5"/>
        <v>979.53666666666675</v>
      </c>
      <c r="K71" s="16">
        <f t="shared" si="6"/>
        <v>984.93</v>
      </c>
      <c r="L71"/>
      <c r="M71"/>
    </row>
    <row r="72" spans="1:13" ht="15.75" customHeight="1" x14ac:dyDescent="0.3">
      <c r="A72" s="35" t="s">
        <v>24</v>
      </c>
      <c r="B72" s="12" t="s">
        <v>57</v>
      </c>
      <c r="C72" s="12" t="s">
        <v>36</v>
      </c>
      <c r="D72" s="12" t="s">
        <v>23</v>
      </c>
      <c r="E72" s="12">
        <v>608.66</v>
      </c>
      <c r="F72" s="12">
        <v>1</v>
      </c>
      <c r="G72" s="12">
        <v>0.05</v>
      </c>
      <c r="H72" s="13">
        <v>45503</v>
      </c>
      <c r="I72" s="37">
        <v>144.56</v>
      </c>
      <c r="J72" s="25">
        <f t="shared" si="5"/>
        <v>979.22580152671776</v>
      </c>
      <c r="K72" s="16">
        <f t="shared" si="6"/>
        <v>987.56</v>
      </c>
      <c r="L72"/>
      <c r="M72"/>
    </row>
    <row r="73" spans="1:13" ht="15.75" customHeight="1" x14ac:dyDescent="0.3">
      <c r="A73" s="35" t="s">
        <v>70</v>
      </c>
      <c r="B73" s="12" t="s">
        <v>71</v>
      </c>
      <c r="C73" s="12" t="s">
        <v>22</v>
      </c>
      <c r="D73" s="12" t="s">
        <v>41</v>
      </c>
      <c r="E73" s="12">
        <v>981.2</v>
      </c>
      <c r="F73" s="12">
        <v>19</v>
      </c>
      <c r="G73" s="12">
        <v>0</v>
      </c>
      <c r="H73" s="13">
        <v>45504</v>
      </c>
      <c r="I73" s="37">
        <v>441.54</v>
      </c>
      <c r="J73" s="25">
        <f t="shared" si="5"/>
        <v>980.56746153846166</v>
      </c>
      <c r="K73" s="16">
        <f t="shared" si="6"/>
        <v>990.19</v>
      </c>
      <c r="L73"/>
      <c r="M73"/>
    </row>
    <row r="74" spans="1:13" ht="15.75" customHeight="1" x14ac:dyDescent="0.3">
      <c r="A74" s="35" t="s">
        <v>72</v>
      </c>
      <c r="B74" s="12" t="s">
        <v>57</v>
      </c>
      <c r="C74" s="12" t="s">
        <v>20</v>
      </c>
      <c r="D74" s="12" t="s">
        <v>23</v>
      </c>
      <c r="E74" s="12">
        <v>539.77</v>
      </c>
      <c r="F74" s="12">
        <v>10</v>
      </c>
      <c r="G74" s="12">
        <v>0.15</v>
      </c>
      <c r="H74" s="13">
        <v>45509</v>
      </c>
      <c r="I74" s="37">
        <v>114.7</v>
      </c>
      <c r="J74" s="25">
        <f t="shared" si="5"/>
        <v>983.45046511627925</v>
      </c>
      <c r="K74" s="16">
        <f t="shared" si="6"/>
        <v>993.90000000000009</v>
      </c>
      <c r="L74"/>
      <c r="M74"/>
    </row>
    <row r="75" spans="1:13" ht="15.75" customHeight="1" x14ac:dyDescent="0.3">
      <c r="A75" s="35" t="s">
        <v>15</v>
      </c>
      <c r="B75" s="12" t="s">
        <v>73</v>
      </c>
      <c r="C75" s="12" t="s">
        <v>22</v>
      </c>
      <c r="D75" s="12" t="s">
        <v>14</v>
      </c>
      <c r="E75" s="12">
        <v>804.45</v>
      </c>
      <c r="F75" s="12">
        <v>5</v>
      </c>
      <c r="G75" s="12">
        <v>0.2</v>
      </c>
      <c r="H75" s="13">
        <v>45509</v>
      </c>
      <c r="I75" s="37">
        <v>257.42</v>
      </c>
      <c r="J75" s="25">
        <f t="shared" si="5"/>
        <v>983.46804687500014</v>
      </c>
      <c r="K75" s="16">
        <f t="shared" si="6"/>
        <v>997.61</v>
      </c>
      <c r="L75"/>
      <c r="M75"/>
    </row>
    <row r="76" spans="1:13" ht="15.75" customHeight="1" x14ac:dyDescent="0.3">
      <c r="A76" s="35" t="s">
        <v>72</v>
      </c>
      <c r="B76" s="12" t="s">
        <v>40</v>
      </c>
      <c r="C76" s="12" t="s">
        <v>13</v>
      </c>
      <c r="D76" s="12" t="s">
        <v>23</v>
      </c>
      <c r="E76" s="12">
        <v>1526.6</v>
      </c>
      <c r="F76" s="12">
        <v>13</v>
      </c>
      <c r="G76" s="12">
        <v>0.2</v>
      </c>
      <c r="H76" s="13">
        <v>45512</v>
      </c>
      <c r="I76" s="37">
        <v>305.32</v>
      </c>
      <c r="J76" s="25">
        <f t="shared" si="5"/>
        <v>986.96173228346481</v>
      </c>
      <c r="K76" s="16">
        <f t="shared" si="6"/>
        <v>1004.095</v>
      </c>
      <c r="L76"/>
      <c r="M76"/>
    </row>
    <row r="77" spans="1:13" ht="15.75" customHeight="1" x14ac:dyDescent="0.3">
      <c r="A77" s="35" t="s">
        <v>15</v>
      </c>
      <c r="B77" s="12" t="s">
        <v>31</v>
      </c>
      <c r="C77" s="12" t="s">
        <v>13</v>
      </c>
      <c r="D77" s="12" t="s">
        <v>23</v>
      </c>
      <c r="E77" s="12">
        <v>1215.26</v>
      </c>
      <c r="F77" s="12">
        <v>5</v>
      </c>
      <c r="G77" s="12">
        <v>0.15</v>
      </c>
      <c r="H77" s="13">
        <v>45513</v>
      </c>
      <c r="I77" s="37">
        <v>258.24</v>
      </c>
      <c r="J77" s="25">
        <f t="shared" si="5"/>
        <v>988.41023809523836</v>
      </c>
      <c r="K77" s="16">
        <f t="shared" si="6"/>
        <v>997.61</v>
      </c>
      <c r="L77"/>
      <c r="M77"/>
    </row>
    <row r="78" spans="1:13" ht="15.75" customHeight="1" x14ac:dyDescent="0.3">
      <c r="A78" s="35" t="s">
        <v>21</v>
      </c>
      <c r="B78" s="12" t="s">
        <v>55</v>
      </c>
      <c r="C78" s="12" t="s">
        <v>36</v>
      </c>
      <c r="D78" s="12" t="s">
        <v>29</v>
      </c>
      <c r="E78" s="12">
        <v>1261.3399999999999</v>
      </c>
      <c r="F78" s="12">
        <v>3</v>
      </c>
      <c r="G78" s="12">
        <v>0</v>
      </c>
      <c r="H78" s="13">
        <v>45519</v>
      </c>
      <c r="I78" s="37">
        <v>441.47</v>
      </c>
      <c r="J78" s="25">
        <f t="shared" si="5"/>
        <v>984.10472000000004</v>
      </c>
      <c r="K78" s="16">
        <f t="shared" si="6"/>
        <v>993.90000000000009</v>
      </c>
      <c r="L78"/>
      <c r="M78"/>
    </row>
    <row r="79" spans="1:13" ht="15.75" customHeight="1" x14ac:dyDescent="0.3">
      <c r="A79" s="35" t="s">
        <v>74</v>
      </c>
      <c r="B79" s="12" t="s">
        <v>47</v>
      </c>
      <c r="C79" s="12" t="s">
        <v>26</v>
      </c>
      <c r="D79" s="12" t="s">
        <v>29</v>
      </c>
      <c r="E79" s="12">
        <v>518.07000000000005</v>
      </c>
      <c r="F79" s="12">
        <v>7</v>
      </c>
      <c r="G79" s="12">
        <v>0.05</v>
      </c>
      <c r="H79" s="13">
        <v>45522</v>
      </c>
      <c r="I79" s="37">
        <v>172.26</v>
      </c>
      <c r="J79" s="25">
        <f t="shared" si="5"/>
        <v>982.24056451612921</v>
      </c>
      <c r="K79" s="16">
        <f t="shared" si="6"/>
        <v>990.19</v>
      </c>
      <c r="L79"/>
      <c r="M79"/>
    </row>
    <row r="80" spans="1:13" ht="15.75" customHeight="1" x14ac:dyDescent="0.3">
      <c r="A80" s="35" t="s">
        <v>32</v>
      </c>
      <c r="B80" s="12" t="s">
        <v>31</v>
      </c>
      <c r="C80" s="12" t="s">
        <v>13</v>
      </c>
      <c r="D80" s="12" t="s">
        <v>41</v>
      </c>
      <c r="E80" s="12">
        <v>1111.3399999999999</v>
      </c>
      <c r="F80" s="12">
        <v>1</v>
      </c>
      <c r="G80" s="12">
        <v>0</v>
      </c>
      <c r="H80" s="13">
        <v>45523</v>
      </c>
      <c r="I80" s="37">
        <v>500.1</v>
      </c>
      <c r="J80" s="25">
        <f t="shared" si="5"/>
        <v>979.97146341463429</v>
      </c>
      <c r="K80" s="16">
        <f t="shared" si="6"/>
        <v>993.90000000000009</v>
      </c>
      <c r="L80"/>
      <c r="M80"/>
    </row>
    <row r="81" spans="1:13" ht="15.75" customHeight="1" x14ac:dyDescent="0.3">
      <c r="A81" s="35" t="s">
        <v>24</v>
      </c>
      <c r="B81" s="12" t="s">
        <v>33</v>
      </c>
      <c r="C81" s="12" t="s">
        <v>20</v>
      </c>
      <c r="D81" s="12" t="s">
        <v>17</v>
      </c>
      <c r="E81" s="12">
        <v>1291.47</v>
      </c>
      <c r="F81" s="12">
        <v>18</v>
      </c>
      <c r="G81" s="12">
        <v>0.1</v>
      </c>
      <c r="H81" s="13">
        <v>45526</v>
      </c>
      <c r="I81" s="37">
        <v>581.16</v>
      </c>
      <c r="J81" s="25">
        <f t="shared" si="5"/>
        <v>983.75754098360676</v>
      </c>
      <c r="K81" s="16">
        <f t="shared" si="6"/>
        <v>990.19</v>
      </c>
      <c r="L81"/>
      <c r="M81"/>
    </row>
    <row r="82" spans="1:13" ht="15.75" customHeight="1" x14ac:dyDescent="0.3">
      <c r="A82" s="35" t="s">
        <v>27</v>
      </c>
      <c r="B82" s="12" t="s">
        <v>57</v>
      </c>
      <c r="C82" s="12" t="s">
        <v>26</v>
      </c>
      <c r="D82" s="12" t="s">
        <v>14</v>
      </c>
      <c r="E82" s="12">
        <v>679.71</v>
      </c>
      <c r="F82" s="12">
        <v>19</v>
      </c>
      <c r="G82" s="12">
        <v>0</v>
      </c>
      <c r="H82" s="13">
        <v>45534</v>
      </c>
      <c r="I82" s="37">
        <v>271.88</v>
      </c>
      <c r="J82" s="25">
        <f t="shared" si="5"/>
        <v>982.70314049586807</v>
      </c>
      <c r="K82" s="16">
        <f t="shared" si="6"/>
        <v>987.56</v>
      </c>
      <c r="L82"/>
      <c r="M82"/>
    </row>
    <row r="83" spans="1:13" ht="15.75" customHeight="1" x14ac:dyDescent="0.3">
      <c r="A83" s="35" t="s">
        <v>70</v>
      </c>
      <c r="B83" s="12" t="s">
        <v>35</v>
      </c>
      <c r="C83" s="12" t="s">
        <v>20</v>
      </c>
      <c r="D83" s="12" t="s">
        <v>29</v>
      </c>
      <c r="E83" s="12">
        <v>1143.69</v>
      </c>
      <c r="F83" s="12">
        <v>17</v>
      </c>
      <c r="G83" s="12">
        <v>0</v>
      </c>
      <c r="H83" s="13">
        <v>45534</v>
      </c>
      <c r="I83" s="37">
        <v>400.29</v>
      </c>
      <c r="J83" s="25">
        <f t="shared" si="5"/>
        <v>980.13008333333357</v>
      </c>
      <c r="K83" s="16">
        <f t="shared" si="6"/>
        <v>990.19</v>
      </c>
      <c r="L83"/>
      <c r="M83"/>
    </row>
    <row r="84" spans="1:13" ht="15.75" customHeight="1" x14ac:dyDescent="0.3">
      <c r="A84" s="35" t="s">
        <v>54</v>
      </c>
      <c r="B84" s="12" t="s">
        <v>52</v>
      </c>
      <c r="C84" s="12" t="s">
        <v>36</v>
      </c>
      <c r="D84" s="12" t="s">
        <v>23</v>
      </c>
      <c r="E84" s="12">
        <v>790.08</v>
      </c>
      <c r="F84" s="12">
        <v>7</v>
      </c>
      <c r="G84" s="12">
        <v>0.1</v>
      </c>
      <c r="H84" s="13">
        <v>45536</v>
      </c>
      <c r="I84" s="37">
        <v>177.77</v>
      </c>
      <c r="J84" s="25">
        <f t="shared" si="5"/>
        <v>982.65462184873968</v>
      </c>
      <c r="K84" s="16">
        <f t="shared" si="6"/>
        <v>987.56</v>
      </c>
      <c r="L84"/>
      <c r="M84"/>
    </row>
    <row r="85" spans="1:13" ht="15.75" customHeight="1" x14ac:dyDescent="0.3">
      <c r="A85" s="35" t="s">
        <v>21</v>
      </c>
      <c r="B85" s="12" t="s">
        <v>50</v>
      </c>
      <c r="C85" s="12" t="s">
        <v>36</v>
      </c>
      <c r="D85" s="12" t="s">
        <v>14</v>
      </c>
      <c r="E85" s="12">
        <v>1070.68</v>
      </c>
      <c r="F85" s="12">
        <v>7</v>
      </c>
      <c r="G85" s="12">
        <v>0.05</v>
      </c>
      <c r="H85" s="13">
        <v>45536</v>
      </c>
      <c r="I85" s="37">
        <v>406.86</v>
      </c>
      <c r="J85" s="25">
        <f t="shared" si="5"/>
        <v>981.2899152542376</v>
      </c>
      <c r="K85" s="16">
        <f t="shared" si="6"/>
        <v>990.19</v>
      </c>
      <c r="L85"/>
      <c r="M85"/>
    </row>
    <row r="86" spans="1:13" ht="15.75" customHeight="1" x14ac:dyDescent="0.3">
      <c r="A86" s="35" t="s">
        <v>60</v>
      </c>
      <c r="B86" s="12" t="s">
        <v>38</v>
      </c>
      <c r="C86" s="12" t="s">
        <v>13</v>
      </c>
      <c r="D86" s="12" t="s">
        <v>17</v>
      </c>
      <c r="E86" s="12">
        <v>1168.8900000000001</v>
      </c>
      <c r="F86" s="12">
        <v>4</v>
      </c>
      <c r="G86" s="12">
        <v>0.1</v>
      </c>
      <c r="H86" s="13">
        <v>45544</v>
      </c>
      <c r="I86" s="37">
        <v>526</v>
      </c>
      <c r="J86" s="25">
        <f t="shared" si="5"/>
        <v>982.92418803418832</v>
      </c>
      <c r="K86" s="16">
        <f t="shared" si="6"/>
        <v>987.56</v>
      </c>
      <c r="L86"/>
      <c r="M86"/>
    </row>
    <row r="87" spans="1:13" ht="15.75" customHeight="1" x14ac:dyDescent="0.3">
      <c r="A87" s="35" t="s">
        <v>69</v>
      </c>
      <c r="B87" s="12" t="s">
        <v>12</v>
      </c>
      <c r="C87" s="12" t="s">
        <v>22</v>
      </c>
      <c r="D87" s="12" t="s">
        <v>23</v>
      </c>
      <c r="E87" s="12">
        <v>1335.87</v>
      </c>
      <c r="F87" s="12">
        <v>17</v>
      </c>
      <c r="G87" s="12">
        <v>0</v>
      </c>
      <c r="H87" s="13">
        <v>45544</v>
      </c>
      <c r="I87" s="37">
        <v>333.97</v>
      </c>
      <c r="J87" s="25">
        <f t="shared" si="5"/>
        <v>982.16767241379341</v>
      </c>
      <c r="K87" s="16">
        <f t="shared" si="6"/>
        <v>984.93</v>
      </c>
      <c r="L87"/>
      <c r="M87"/>
    </row>
    <row r="88" spans="1:13" ht="15.75" customHeight="1" x14ac:dyDescent="0.3">
      <c r="A88" s="35" t="s">
        <v>42</v>
      </c>
      <c r="B88" s="12" t="s">
        <v>57</v>
      </c>
      <c r="C88" s="12" t="s">
        <v>20</v>
      </c>
      <c r="D88" s="12" t="s">
        <v>29</v>
      </c>
      <c r="E88" s="12">
        <v>873.7</v>
      </c>
      <c r="F88" s="12">
        <v>9</v>
      </c>
      <c r="G88" s="12">
        <v>0</v>
      </c>
      <c r="H88" s="13">
        <v>45546</v>
      </c>
      <c r="I88" s="37">
        <v>305.8</v>
      </c>
      <c r="J88" s="25">
        <f t="shared" si="5"/>
        <v>980.54400000000032</v>
      </c>
      <c r="K88" s="16">
        <f t="shared" si="6"/>
        <v>982.55499999999995</v>
      </c>
      <c r="L88"/>
      <c r="M88"/>
    </row>
    <row r="89" spans="1:13" ht="15.75" customHeight="1" x14ac:dyDescent="0.3">
      <c r="A89" s="35" t="s">
        <v>74</v>
      </c>
      <c r="B89" s="12" t="s">
        <v>66</v>
      </c>
      <c r="C89" s="12" t="s">
        <v>13</v>
      </c>
      <c r="D89" s="12" t="s">
        <v>41</v>
      </c>
      <c r="E89" s="12">
        <v>1443.98</v>
      </c>
      <c r="F89" s="12">
        <v>19</v>
      </c>
      <c r="G89" s="12">
        <v>0</v>
      </c>
      <c r="H89" s="13">
        <v>45547</v>
      </c>
      <c r="I89" s="37">
        <v>649.79</v>
      </c>
      <c r="J89" s="25">
        <f t="shared" si="5"/>
        <v>977.4271052631583</v>
      </c>
      <c r="K89" s="16">
        <f t="shared" si="6"/>
        <v>984.93</v>
      </c>
      <c r="L89"/>
      <c r="M89"/>
    </row>
    <row r="90" spans="1:13" ht="15.75" customHeight="1" x14ac:dyDescent="0.3">
      <c r="A90" s="35" t="s">
        <v>42</v>
      </c>
      <c r="B90" s="12" t="s">
        <v>25</v>
      </c>
      <c r="C90" s="12" t="s">
        <v>20</v>
      </c>
      <c r="D90" s="12" t="s">
        <v>41</v>
      </c>
      <c r="E90" s="12">
        <v>1154.33</v>
      </c>
      <c r="F90" s="12">
        <v>11</v>
      </c>
      <c r="G90" s="12">
        <v>0.15</v>
      </c>
      <c r="H90" s="13">
        <v>45549</v>
      </c>
      <c r="I90" s="37">
        <v>441.53</v>
      </c>
      <c r="J90" s="25">
        <f t="shared" si="5"/>
        <v>978.345044247788</v>
      </c>
      <c r="K90" s="16">
        <f t="shared" si="6"/>
        <v>982.55499999999995</v>
      </c>
      <c r="L90"/>
      <c r="M90"/>
    </row>
    <row r="91" spans="1:13" ht="15.75" customHeight="1" x14ac:dyDescent="0.3">
      <c r="A91" s="35" t="s">
        <v>51</v>
      </c>
      <c r="B91" s="12" t="s">
        <v>52</v>
      </c>
      <c r="C91" s="12" t="s">
        <v>22</v>
      </c>
      <c r="D91" s="12" t="s">
        <v>14</v>
      </c>
      <c r="E91" s="12">
        <v>1264.49</v>
      </c>
      <c r="F91" s="12">
        <v>16</v>
      </c>
      <c r="G91" s="12">
        <v>0.05</v>
      </c>
      <c r="H91" s="13">
        <v>45549</v>
      </c>
      <c r="I91" s="37">
        <v>480.51</v>
      </c>
      <c r="J91" s="25">
        <f t="shared" si="5"/>
        <v>974.18758928571481</v>
      </c>
      <c r="K91" s="16">
        <f t="shared" si="6"/>
        <v>980.18</v>
      </c>
      <c r="L91"/>
      <c r="M91"/>
    </row>
    <row r="92" spans="1:13" ht="15.75" customHeight="1" x14ac:dyDescent="0.3">
      <c r="A92" s="35" t="s">
        <v>27</v>
      </c>
      <c r="B92" s="12" t="s">
        <v>68</v>
      </c>
      <c r="C92" s="12" t="s">
        <v>13</v>
      </c>
      <c r="D92" s="12" t="s">
        <v>29</v>
      </c>
      <c r="E92" s="12">
        <v>1101.55</v>
      </c>
      <c r="F92" s="12">
        <v>4</v>
      </c>
      <c r="G92" s="12">
        <v>0.1</v>
      </c>
      <c r="H92" s="13">
        <v>45551</v>
      </c>
      <c r="I92" s="37">
        <v>346.99</v>
      </c>
      <c r="J92" s="25">
        <f t="shared" si="5"/>
        <v>972.56468468468518</v>
      </c>
      <c r="K92" s="16">
        <f t="shared" si="6"/>
        <v>973.24</v>
      </c>
      <c r="L92"/>
      <c r="M92"/>
    </row>
    <row r="93" spans="1:13" ht="15.75" customHeight="1" x14ac:dyDescent="0.3">
      <c r="A93" s="35" t="s">
        <v>75</v>
      </c>
      <c r="B93" s="12" t="s">
        <v>16</v>
      </c>
      <c r="C93" s="12" t="s">
        <v>22</v>
      </c>
      <c r="D93" s="12" t="s">
        <v>29</v>
      </c>
      <c r="E93" s="12">
        <v>727.73</v>
      </c>
      <c r="F93" s="12">
        <v>1</v>
      </c>
      <c r="G93" s="12">
        <v>0.1</v>
      </c>
      <c r="H93" s="13">
        <v>45552</v>
      </c>
      <c r="I93" s="37">
        <v>229.23</v>
      </c>
      <c r="J93" s="25">
        <f t="shared" si="5"/>
        <v>969.91081818181863</v>
      </c>
      <c r="K93" s="16">
        <f t="shared" si="6"/>
        <v>966.3</v>
      </c>
      <c r="L93"/>
      <c r="M93"/>
    </row>
    <row r="94" spans="1:13" ht="15.75" customHeight="1" x14ac:dyDescent="0.3">
      <c r="A94" s="35" t="s">
        <v>76</v>
      </c>
      <c r="B94" s="12" t="s">
        <v>40</v>
      </c>
      <c r="C94" s="12" t="s">
        <v>20</v>
      </c>
      <c r="D94" s="12" t="s">
        <v>41</v>
      </c>
      <c r="E94" s="12">
        <v>875.41</v>
      </c>
      <c r="F94" s="12">
        <v>13</v>
      </c>
      <c r="G94" s="12">
        <v>0.15</v>
      </c>
      <c r="H94" s="13">
        <v>45552</v>
      </c>
      <c r="I94" s="37">
        <v>334.84</v>
      </c>
      <c r="J94" s="25">
        <f t="shared" si="5"/>
        <v>968.70311926605541</v>
      </c>
      <c r="K94" s="16">
        <f t="shared" si="6"/>
        <v>973.24</v>
      </c>
      <c r="L94"/>
      <c r="M94"/>
    </row>
    <row r="95" spans="1:13" ht="15.75" customHeight="1" x14ac:dyDescent="0.3">
      <c r="A95" s="35" t="s">
        <v>69</v>
      </c>
      <c r="B95" s="12" t="s">
        <v>25</v>
      </c>
      <c r="C95" s="12" t="s">
        <v>13</v>
      </c>
      <c r="D95" s="12" t="s">
        <v>23</v>
      </c>
      <c r="E95" s="12">
        <v>1158.94</v>
      </c>
      <c r="F95" s="12">
        <v>19</v>
      </c>
      <c r="G95" s="12">
        <v>0.2</v>
      </c>
      <c r="H95" s="13">
        <v>45553</v>
      </c>
      <c r="I95" s="37">
        <v>231.79</v>
      </c>
      <c r="J95" s="25">
        <f t="shared" si="5"/>
        <v>970.93435185185217</v>
      </c>
      <c r="K95" s="16">
        <f t="shared" si="6"/>
        <v>980.18</v>
      </c>
      <c r="L95"/>
      <c r="M95"/>
    </row>
    <row r="96" spans="1:13" ht="15.75" customHeight="1" x14ac:dyDescent="0.3">
      <c r="A96" s="35" t="s">
        <v>77</v>
      </c>
      <c r="B96" s="12" t="s">
        <v>49</v>
      </c>
      <c r="C96" s="12" t="s">
        <v>22</v>
      </c>
      <c r="D96" s="12" t="s">
        <v>14</v>
      </c>
      <c r="E96" s="12">
        <v>966.3</v>
      </c>
      <c r="F96" s="12">
        <v>2</v>
      </c>
      <c r="G96" s="12">
        <v>0.15</v>
      </c>
      <c r="H96" s="13">
        <v>45557</v>
      </c>
      <c r="I96" s="37">
        <v>328.54</v>
      </c>
      <c r="J96" s="25">
        <f t="shared" si="5"/>
        <v>971.82710280373874</v>
      </c>
      <c r="K96" s="16">
        <f t="shared" si="6"/>
        <v>973.24</v>
      </c>
      <c r="L96"/>
      <c r="M96"/>
    </row>
    <row r="97" spans="1:13" ht="15.75" customHeight="1" x14ac:dyDescent="0.3">
      <c r="A97" s="35" t="s">
        <v>70</v>
      </c>
      <c r="B97" s="12" t="s">
        <v>19</v>
      </c>
      <c r="C97" s="12" t="s">
        <v>22</v>
      </c>
      <c r="D97" s="12" t="s">
        <v>14</v>
      </c>
      <c r="E97" s="12">
        <v>917.48</v>
      </c>
      <c r="F97" s="12">
        <v>6</v>
      </c>
      <c r="G97" s="12">
        <v>0</v>
      </c>
      <c r="H97" s="13">
        <v>45558</v>
      </c>
      <c r="I97" s="37">
        <v>366.99</v>
      </c>
      <c r="J97" s="25">
        <f t="shared" si="5"/>
        <v>970.06188679245327</v>
      </c>
      <c r="K97" s="16">
        <f t="shared" si="6"/>
        <v>980.18</v>
      </c>
      <c r="L97"/>
      <c r="M97"/>
    </row>
    <row r="98" spans="1:13" ht="15.75" customHeight="1" x14ac:dyDescent="0.3">
      <c r="A98" s="35" t="s">
        <v>43</v>
      </c>
      <c r="B98" s="12" t="s">
        <v>63</v>
      </c>
      <c r="C98" s="12" t="s">
        <v>13</v>
      </c>
      <c r="D98" s="12" t="s">
        <v>29</v>
      </c>
      <c r="E98" s="12">
        <v>1172.97</v>
      </c>
      <c r="F98" s="12">
        <v>7</v>
      </c>
      <c r="G98" s="12">
        <v>0.15</v>
      </c>
      <c r="H98" s="13">
        <v>45559</v>
      </c>
      <c r="I98" s="37">
        <v>348.96</v>
      </c>
      <c r="J98" s="25">
        <f t="shared" si="5"/>
        <v>970.09771428571469</v>
      </c>
      <c r="K98" s="16">
        <f t="shared" si="6"/>
        <v>982.55499999999995</v>
      </c>
      <c r="L98"/>
      <c r="M98"/>
    </row>
    <row r="99" spans="1:13" ht="15.75" customHeight="1" x14ac:dyDescent="0.3">
      <c r="A99" s="35" t="s">
        <v>59</v>
      </c>
      <c r="B99" s="12" t="s">
        <v>25</v>
      </c>
      <c r="C99" s="12" t="s">
        <v>26</v>
      </c>
      <c r="D99" s="12" t="s">
        <v>17</v>
      </c>
      <c r="E99" s="12">
        <v>1205.82</v>
      </c>
      <c r="F99" s="12">
        <v>11</v>
      </c>
      <c r="G99" s="12">
        <v>0.1</v>
      </c>
      <c r="H99" s="13">
        <v>45559</v>
      </c>
      <c r="I99" s="37">
        <v>542.62</v>
      </c>
      <c r="J99" s="25">
        <f t="shared" si="5"/>
        <v>970.6036538461542</v>
      </c>
      <c r="K99" s="16">
        <f t="shared" si="6"/>
        <v>980.18</v>
      </c>
      <c r="L99"/>
      <c r="M99"/>
    </row>
    <row r="100" spans="1:13" ht="15.75" customHeight="1" x14ac:dyDescent="0.3">
      <c r="A100" s="35" t="s">
        <v>18</v>
      </c>
      <c r="B100" s="12" t="s">
        <v>66</v>
      </c>
      <c r="C100" s="12" t="s">
        <v>13</v>
      </c>
      <c r="D100" s="12" t="s">
        <v>41</v>
      </c>
      <c r="E100" s="12">
        <v>826.93</v>
      </c>
      <c r="F100" s="12">
        <v>10</v>
      </c>
      <c r="G100" s="12">
        <v>0.2</v>
      </c>
      <c r="H100" s="13">
        <v>45564</v>
      </c>
      <c r="I100" s="37">
        <v>297.69</v>
      </c>
      <c r="J100" s="25">
        <f t="shared" si="5"/>
        <v>968.63893203883538</v>
      </c>
      <c r="K100" s="16">
        <f t="shared" si="6"/>
        <v>970.9</v>
      </c>
      <c r="L100"/>
      <c r="M100"/>
    </row>
    <row r="101" spans="1:13" ht="15.75" customHeight="1" x14ac:dyDescent="0.3">
      <c r="A101" s="35" t="s">
        <v>69</v>
      </c>
      <c r="B101" s="12" t="s">
        <v>25</v>
      </c>
      <c r="C101" s="12" t="s">
        <v>36</v>
      </c>
      <c r="D101" s="12" t="s">
        <v>17</v>
      </c>
      <c r="E101" s="12">
        <v>902.19</v>
      </c>
      <c r="F101" s="12">
        <v>12</v>
      </c>
      <c r="G101" s="12">
        <v>0</v>
      </c>
      <c r="H101" s="13">
        <v>45564</v>
      </c>
      <c r="I101" s="37">
        <v>451.1</v>
      </c>
      <c r="J101" s="25">
        <f t="shared" si="5"/>
        <v>966.31362745098068</v>
      </c>
      <c r="K101" s="16">
        <f t="shared" si="6"/>
        <v>980.18</v>
      </c>
      <c r="L101"/>
      <c r="M101"/>
    </row>
    <row r="102" spans="1:13" ht="15.75" customHeight="1" x14ac:dyDescent="0.3">
      <c r="A102" s="35" t="s">
        <v>76</v>
      </c>
      <c r="B102" s="12" t="s">
        <v>40</v>
      </c>
      <c r="C102" s="12" t="s">
        <v>26</v>
      </c>
      <c r="D102" s="12" t="s">
        <v>14</v>
      </c>
      <c r="E102" s="12">
        <v>585.97</v>
      </c>
      <c r="F102" s="12">
        <v>17</v>
      </c>
      <c r="G102" s="12">
        <v>0.1</v>
      </c>
      <c r="H102" s="13">
        <v>45565</v>
      </c>
      <c r="I102" s="37">
        <v>210.95</v>
      </c>
      <c r="J102" s="25">
        <f t="shared" si="5"/>
        <v>967.69366336633709</v>
      </c>
      <c r="K102" s="16">
        <f t="shared" si="6"/>
        <v>982.55499999999995</v>
      </c>
      <c r="L102"/>
      <c r="M102"/>
    </row>
    <row r="103" spans="1:13" ht="15.75" customHeight="1" x14ac:dyDescent="0.3">
      <c r="A103" s="35" t="s">
        <v>62</v>
      </c>
      <c r="B103" s="12" t="s">
        <v>28</v>
      </c>
      <c r="C103" s="12" t="s">
        <v>26</v>
      </c>
      <c r="D103" s="12" t="s">
        <v>17</v>
      </c>
      <c r="E103" s="12">
        <v>990.19</v>
      </c>
      <c r="F103" s="12">
        <v>8</v>
      </c>
      <c r="G103" s="12">
        <v>0.1</v>
      </c>
      <c r="H103" s="13">
        <v>45565</v>
      </c>
      <c r="I103" s="37">
        <v>445.59</v>
      </c>
      <c r="J103" s="25">
        <f t="shared" si="5"/>
        <v>968.34870000000035</v>
      </c>
      <c r="K103" s="16">
        <f t="shared" si="6"/>
        <v>984.93</v>
      </c>
      <c r="L103"/>
      <c r="M103"/>
    </row>
    <row r="104" spans="1:13" ht="15.75" customHeight="1" x14ac:dyDescent="0.3">
      <c r="A104" s="35" t="s">
        <v>46</v>
      </c>
      <c r="B104" s="12" t="s">
        <v>58</v>
      </c>
      <c r="C104" s="12" t="s">
        <v>36</v>
      </c>
      <c r="D104" s="12" t="s">
        <v>23</v>
      </c>
      <c r="E104" s="12">
        <v>1014.09</v>
      </c>
      <c r="F104" s="12">
        <v>13</v>
      </c>
      <c r="G104" s="12">
        <v>0.2</v>
      </c>
      <c r="H104" s="13">
        <v>45567</v>
      </c>
      <c r="I104" s="37">
        <v>202.82</v>
      </c>
      <c r="J104" s="25">
        <f t="shared" si="5"/>
        <v>972.21111111111145</v>
      </c>
      <c r="K104" s="16">
        <f t="shared" si="6"/>
        <v>982.55499999999995</v>
      </c>
      <c r="L104"/>
      <c r="M104"/>
    </row>
    <row r="105" spans="1:13" ht="15.75" customHeight="1" x14ac:dyDescent="0.3">
      <c r="A105" s="35" t="s">
        <v>15</v>
      </c>
      <c r="B105" s="12" t="s">
        <v>50</v>
      </c>
      <c r="C105" s="12" t="s">
        <v>26</v>
      </c>
      <c r="D105" s="12" t="s">
        <v>23</v>
      </c>
      <c r="E105" s="12">
        <v>925.29</v>
      </c>
      <c r="F105" s="12">
        <v>17</v>
      </c>
      <c r="G105" s="12">
        <v>0</v>
      </c>
      <c r="H105" s="13">
        <v>45570</v>
      </c>
      <c r="I105" s="37">
        <v>231.32</v>
      </c>
      <c r="J105" s="25">
        <f t="shared" si="5"/>
        <v>972.0276530612249</v>
      </c>
      <c r="K105" s="16">
        <f t="shared" si="6"/>
        <v>980.18</v>
      </c>
      <c r="L105"/>
      <c r="M105"/>
    </row>
    <row r="106" spans="1:13" ht="15.75" customHeight="1" x14ac:dyDescent="0.3">
      <c r="A106" s="35" t="s">
        <v>56</v>
      </c>
      <c r="B106" s="12" t="s">
        <v>49</v>
      </c>
      <c r="C106" s="12" t="s">
        <v>20</v>
      </c>
      <c r="D106" s="12" t="s">
        <v>29</v>
      </c>
      <c r="E106" s="12">
        <v>1286.54</v>
      </c>
      <c r="F106" s="12">
        <v>8</v>
      </c>
      <c r="G106" s="12">
        <v>0</v>
      </c>
      <c r="H106" s="13">
        <v>45575</v>
      </c>
      <c r="I106" s="37">
        <v>450.29</v>
      </c>
      <c r="J106" s="25">
        <f t="shared" si="5"/>
        <v>971.5940206185569</v>
      </c>
      <c r="K106" s="16">
        <f t="shared" si="6"/>
        <v>982.55499999999995</v>
      </c>
      <c r="L106"/>
      <c r="M106"/>
    </row>
    <row r="107" spans="1:13" ht="15.75" customHeight="1" x14ac:dyDescent="0.3">
      <c r="A107" s="35" t="s">
        <v>39</v>
      </c>
      <c r="B107" s="12" t="s">
        <v>66</v>
      </c>
      <c r="C107" s="12" t="s">
        <v>22</v>
      </c>
      <c r="D107" s="12" t="s">
        <v>14</v>
      </c>
      <c r="E107" s="12">
        <v>961.62</v>
      </c>
      <c r="F107" s="12">
        <v>8</v>
      </c>
      <c r="G107" s="12">
        <v>0.2</v>
      </c>
      <c r="H107" s="13">
        <v>45577</v>
      </c>
      <c r="I107" s="37">
        <v>307.72000000000003</v>
      </c>
      <c r="J107" s="25">
        <f t="shared" si="5"/>
        <v>972.07635416666699</v>
      </c>
      <c r="K107" s="16">
        <f t="shared" si="6"/>
        <v>980.18</v>
      </c>
      <c r="L107"/>
      <c r="M107"/>
    </row>
    <row r="108" spans="1:13" ht="15.75" customHeight="1" x14ac:dyDescent="0.3">
      <c r="A108" s="35" t="s">
        <v>46</v>
      </c>
      <c r="B108" s="12" t="s">
        <v>25</v>
      </c>
      <c r="C108" s="12" t="s">
        <v>20</v>
      </c>
      <c r="D108" s="12" t="s">
        <v>14</v>
      </c>
      <c r="E108" s="12">
        <v>1081.1400000000001</v>
      </c>
      <c r="F108" s="12">
        <v>19</v>
      </c>
      <c r="G108" s="12">
        <v>0.15</v>
      </c>
      <c r="H108" s="13">
        <v>45577</v>
      </c>
      <c r="I108" s="37">
        <v>367.59</v>
      </c>
      <c r="J108" s="25">
        <f t="shared" si="5"/>
        <v>968.76621052631606</v>
      </c>
      <c r="K108" s="16">
        <f t="shared" si="6"/>
        <v>982.55499999999995</v>
      </c>
      <c r="L108"/>
      <c r="M108"/>
    </row>
    <row r="109" spans="1:13" ht="15.75" customHeight="1" x14ac:dyDescent="0.3">
      <c r="A109" s="35" t="s">
        <v>60</v>
      </c>
      <c r="B109" s="12" t="s">
        <v>25</v>
      </c>
      <c r="C109" s="12" t="s">
        <v>13</v>
      </c>
      <c r="D109" s="12" t="s">
        <v>17</v>
      </c>
      <c r="E109" s="12">
        <v>1923.66</v>
      </c>
      <c r="F109" s="12">
        <v>9</v>
      </c>
      <c r="G109" s="12">
        <v>0.2</v>
      </c>
      <c r="H109" s="13">
        <v>45580</v>
      </c>
      <c r="I109" s="37">
        <v>769.46</v>
      </c>
      <c r="J109" s="25">
        <f t="shared" si="5"/>
        <v>968.84223404255329</v>
      </c>
      <c r="K109" s="16">
        <f t="shared" si="6"/>
        <v>980.18</v>
      </c>
      <c r="L109"/>
      <c r="M109"/>
    </row>
    <row r="110" spans="1:13" ht="15.75" customHeight="1" x14ac:dyDescent="0.3">
      <c r="A110" s="35" t="s">
        <v>56</v>
      </c>
      <c r="B110" s="12" t="s">
        <v>68</v>
      </c>
      <c r="C110" s="12" t="s">
        <v>36</v>
      </c>
      <c r="D110" s="12" t="s">
        <v>17</v>
      </c>
      <c r="E110" s="12">
        <v>728.71</v>
      </c>
      <c r="F110" s="12">
        <v>14</v>
      </c>
      <c r="G110" s="12">
        <v>0.1</v>
      </c>
      <c r="H110" s="13">
        <v>45581</v>
      </c>
      <c r="I110" s="37">
        <v>327.92</v>
      </c>
      <c r="J110" s="25">
        <f t="shared" si="5"/>
        <v>967.63473118279603</v>
      </c>
      <c r="K110" s="16">
        <f t="shared" si="6"/>
        <v>968.7349999999999</v>
      </c>
      <c r="L110"/>
      <c r="M110"/>
    </row>
    <row r="111" spans="1:13" ht="15.75" customHeight="1" x14ac:dyDescent="0.3">
      <c r="A111" s="35" t="s">
        <v>11</v>
      </c>
      <c r="B111" s="12" t="s">
        <v>35</v>
      </c>
      <c r="C111" s="12" t="s">
        <v>36</v>
      </c>
      <c r="D111" s="12" t="s">
        <v>17</v>
      </c>
      <c r="E111" s="12">
        <v>1301.8900000000001</v>
      </c>
      <c r="F111" s="12">
        <v>7</v>
      </c>
      <c r="G111" s="12">
        <v>0.15</v>
      </c>
      <c r="H111" s="13">
        <v>45581</v>
      </c>
      <c r="I111" s="37">
        <v>553.29999999999995</v>
      </c>
      <c r="J111" s="25">
        <f t="shared" si="5"/>
        <v>957.24315217391336</v>
      </c>
      <c r="K111" s="16">
        <f t="shared" si="6"/>
        <v>980.18</v>
      </c>
      <c r="L111"/>
      <c r="M111"/>
    </row>
    <row r="112" spans="1:13" ht="15.75" customHeight="1" x14ac:dyDescent="0.3">
      <c r="A112" s="35" t="s">
        <v>72</v>
      </c>
      <c r="B112" s="12" t="s">
        <v>68</v>
      </c>
      <c r="C112" s="12" t="s">
        <v>20</v>
      </c>
      <c r="D112" s="12" t="s">
        <v>14</v>
      </c>
      <c r="E112" s="12">
        <v>980.18</v>
      </c>
      <c r="F112" s="12">
        <v>16</v>
      </c>
      <c r="G112" s="12">
        <v>0.1</v>
      </c>
      <c r="H112" s="13">
        <v>45582</v>
      </c>
      <c r="I112" s="37">
        <v>352.86</v>
      </c>
      <c r="J112" s="25">
        <f t="shared" si="5"/>
        <v>959.75450549450591</v>
      </c>
      <c r="K112" s="16">
        <f t="shared" si="6"/>
        <v>968.7349999999999</v>
      </c>
      <c r="L112"/>
      <c r="M112"/>
    </row>
    <row r="113" spans="1:13" ht="15.75" customHeight="1" x14ac:dyDescent="0.3">
      <c r="A113" s="35" t="s">
        <v>76</v>
      </c>
      <c r="B113" s="12" t="s">
        <v>25</v>
      </c>
      <c r="C113" s="12" t="s">
        <v>13</v>
      </c>
      <c r="D113" s="12" t="s">
        <v>17</v>
      </c>
      <c r="E113" s="12">
        <v>697.57</v>
      </c>
      <c r="F113" s="12">
        <v>17</v>
      </c>
      <c r="G113" s="12">
        <v>0.1</v>
      </c>
      <c r="H113" s="13">
        <v>45584</v>
      </c>
      <c r="I113" s="37">
        <v>313.91000000000003</v>
      </c>
      <c r="J113" s="25">
        <f t="shared" si="5"/>
        <v>955.95300000000032</v>
      </c>
      <c r="K113" s="16">
        <f t="shared" si="6"/>
        <v>957.29</v>
      </c>
      <c r="L113"/>
      <c r="M113"/>
    </row>
    <row r="114" spans="1:13" ht="15.75" customHeight="1" x14ac:dyDescent="0.3">
      <c r="A114" s="35" t="s">
        <v>48</v>
      </c>
      <c r="B114" s="12" t="s">
        <v>73</v>
      </c>
      <c r="C114" s="12" t="s">
        <v>13</v>
      </c>
      <c r="D114" s="12" t="s">
        <v>29</v>
      </c>
      <c r="E114" s="12">
        <v>1193.6099999999999</v>
      </c>
      <c r="F114" s="12">
        <v>1</v>
      </c>
      <c r="G114" s="12">
        <v>0.15</v>
      </c>
      <c r="H114" s="13">
        <v>45584</v>
      </c>
      <c r="I114" s="37">
        <v>355.1</v>
      </c>
      <c r="J114" s="25">
        <f t="shared" si="5"/>
        <v>955.68078651685425</v>
      </c>
      <c r="K114" s="16">
        <f t="shared" si="6"/>
        <v>971.1099999999999</v>
      </c>
      <c r="L114"/>
      <c r="M114"/>
    </row>
    <row r="115" spans="1:13" ht="15.75" customHeight="1" x14ac:dyDescent="0.3">
      <c r="A115" s="35" t="s">
        <v>34</v>
      </c>
      <c r="B115" s="12" t="s">
        <v>40</v>
      </c>
      <c r="C115" s="12" t="s">
        <v>22</v>
      </c>
      <c r="D115" s="12" t="s">
        <v>23</v>
      </c>
      <c r="E115" s="12">
        <v>771.02</v>
      </c>
      <c r="F115" s="12">
        <v>1</v>
      </c>
      <c r="G115" s="12">
        <v>0</v>
      </c>
      <c r="H115" s="13">
        <v>45585</v>
      </c>
      <c r="I115" s="37">
        <v>192.76</v>
      </c>
      <c r="J115" s="25">
        <f t="shared" si="5"/>
        <v>958.61386363636404</v>
      </c>
      <c r="K115" s="16">
        <f t="shared" si="6"/>
        <v>957.29</v>
      </c>
      <c r="L115"/>
      <c r="M115"/>
    </row>
    <row r="116" spans="1:13" ht="15.75" customHeight="1" x14ac:dyDescent="0.3">
      <c r="A116" s="35" t="s">
        <v>69</v>
      </c>
      <c r="B116" s="12" t="s">
        <v>71</v>
      </c>
      <c r="C116" s="12" t="s">
        <v>26</v>
      </c>
      <c r="D116" s="12" t="s">
        <v>17</v>
      </c>
      <c r="E116" s="12">
        <v>661.09</v>
      </c>
      <c r="F116" s="12">
        <v>1</v>
      </c>
      <c r="G116" s="12">
        <v>0.2</v>
      </c>
      <c r="H116" s="13">
        <v>45593</v>
      </c>
      <c r="I116" s="37">
        <v>264.44</v>
      </c>
      <c r="J116" s="25">
        <f t="shared" si="5"/>
        <v>955.91275862069006</v>
      </c>
      <c r="K116" s="16">
        <f t="shared" si="6"/>
        <v>971.1099999999999</v>
      </c>
      <c r="L116"/>
      <c r="M116"/>
    </row>
    <row r="117" spans="1:13" ht="15.75" customHeight="1" x14ac:dyDescent="0.3">
      <c r="A117" s="35" t="s">
        <v>15</v>
      </c>
      <c r="B117" s="12" t="s">
        <v>57</v>
      </c>
      <c r="C117" s="12" t="s">
        <v>13</v>
      </c>
      <c r="D117" s="12" t="s">
        <v>23</v>
      </c>
      <c r="E117" s="12">
        <v>688.83</v>
      </c>
      <c r="F117" s="12">
        <v>15</v>
      </c>
      <c r="G117" s="12">
        <v>0</v>
      </c>
      <c r="H117" s="13">
        <v>45595</v>
      </c>
      <c r="I117" s="37">
        <v>172.21</v>
      </c>
      <c r="J117" s="25">
        <f t="shared" si="5"/>
        <v>958.06267441860496</v>
      </c>
      <c r="K117" s="16">
        <f t="shared" si="6"/>
        <v>984.93</v>
      </c>
      <c r="L117"/>
      <c r="M117"/>
    </row>
    <row r="118" spans="1:13" ht="15.75" customHeight="1" x14ac:dyDescent="0.3">
      <c r="A118" s="35" t="s">
        <v>75</v>
      </c>
      <c r="B118" s="12" t="s">
        <v>31</v>
      </c>
      <c r="C118" s="12" t="s">
        <v>36</v>
      </c>
      <c r="D118" s="12" t="s">
        <v>14</v>
      </c>
      <c r="E118" s="12">
        <v>1249.0999999999999</v>
      </c>
      <c r="F118" s="12">
        <v>4</v>
      </c>
      <c r="G118" s="12">
        <v>0.05</v>
      </c>
      <c r="H118" s="13">
        <v>45597</v>
      </c>
      <c r="I118" s="37">
        <v>474.66</v>
      </c>
      <c r="J118" s="25">
        <f t="shared" si="5"/>
        <v>961.55647058823581</v>
      </c>
      <c r="K118" s="16">
        <f t="shared" si="6"/>
        <v>991.27</v>
      </c>
      <c r="L118"/>
      <c r="M118"/>
    </row>
    <row r="119" spans="1:13" ht="15.75" customHeight="1" x14ac:dyDescent="0.3">
      <c r="A119" s="35" t="s">
        <v>46</v>
      </c>
      <c r="B119" s="12" t="s">
        <v>25</v>
      </c>
      <c r="C119" s="12" t="s">
        <v>20</v>
      </c>
      <c r="D119" s="12" t="s">
        <v>41</v>
      </c>
      <c r="E119" s="12">
        <v>1014.22</v>
      </c>
      <c r="F119" s="12">
        <v>14</v>
      </c>
      <c r="G119" s="12">
        <v>0.05</v>
      </c>
      <c r="H119" s="13">
        <v>45599</v>
      </c>
      <c r="I119" s="37">
        <v>433.58</v>
      </c>
      <c r="J119" s="25">
        <f t="shared" si="5"/>
        <v>964.80321428571483</v>
      </c>
      <c r="K119" s="16">
        <f t="shared" si="6"/>
        <v>984.93</v>
      </c>
      <c r="L119"/>
      <c r="M119"/>
    </row>
    <row r="120" spans="1:13" ht="15.75" customHeight="1" x14ac:dyDescent="0.3">
      <c r="A120" s="35" t="s">
        <v>56</v>
      </c>
      <c r="B120" s="12" t="s">
        <v>50</v>
      </c>
      <c r="C120" s="12" t="s">
        <v>20</v>
      </c>
      <c r="D120" s="12" t="s">
        <v>14</v>
      </c>
      <c r="E120" s="12">
        <v>1010.58</v>
      </c>
      <c r="F120" s="12">
        <v>2</v>
      </c>
      <c r="G120" s="12">
        <v>0.15</v>
      </c>
      <c r="H120" s="13">
        <v>45605</v>
      </c>
      <c r="I120" s="37">
        <v>343.6</v>
      </c>
      <c r="J120" s="25">
        <f t="shared" si="5"/>
        <v>961.37795180722958</v>
      </c>
      <c r="K120" s="16">
        <f t="shared" si="6"/>
        <v>971.1099999999999</v>
      </c>
      <c r="L120"/>
      <c r="M120"/>
    </row>
    <row r="121" spans="1:13" ht="15.75" customHeight="1" x14ac:dyDescent="0.3">
      <c r="A121" s="35" t="s">
        <v>32</v>
      </c>
      <c r="B121" s="12" t="s">
        <v>61</v>
      </c>
      <c r="C121" s="12" t="s">
        <v>26</v>
      </c>
      <c r="D121" s="12" t="s">
        <v>29</v>
      </c>
      <c r="E121" s="12">
        <v>957.29</v>
      </c>
      <c r="F121" s="12">
        <v>4</v>
      </c>
      <c r="G121" s="12">
        <v>0.05</v>
      </c>
      <c r="H121" s="13">
        <v>45605</v>
      </c>
      <c r="I121" s="37">
        <v>318.3</v>
      </c>
      <c r="J121" s="25">
        <f t="shared" si="5"/>
        <v>960.73353658536644</v>
      </c>
      <c r="K121" s="16">
        <f t="shared" si="6"/>
        <v>957.29</v>
      </c>
      <c r="L121"/>
      <c r="M121"/>
    </row>
    <row r="122" spans="1:13" ht="15.75" customHeight="1" x14ac:dyDescent="0.3">
      <c r="A122" s="35" t="s">
        <v>30</v>
      </c>
      <c r="B122" s="12" t="s">
        <v>47</v>
      </c>
      <c r="C122" s="12" t="s">
        <v>26</v>
      </c>
      <c r="D122" s="12" t="s">
        <v>29</v>
      </c>
      <c r="E122" s="12">
        <v>1077.92</v>
      </c>
      <c r="F122" s="12">
        <v>3</v>
      </c>
      <c r="G122" s="12">
        <v>0.05</v>
      </c>
      <c r="H122" s="13">
        <v>45608</v>
      </c>
      <c r="I122" s="37">
        <v>358.41</v>
      </c>
      <c r="J122" s="25">
        <f t="shared" si="5"/>
        <v>960.11814814814863</v>
      </c>
      <c r="K122" s="16">
        <f t="shared" si="6"/>
        <v>959.59999999999991</v>
      </c>
      <c r="L122"/>
      <c r="M122"/>
    </row>
    <row r="123" spans="1:13" ht="15.75" customHeight="1" x14ac:dyDescent="0.3">
      <c r="A123" s="35" t="s">
        <v>54</v>
      </c>
      <c r="B123" s="12" t="s">
        <v>52</v>
      </c>
      <c r="C123" s="12" t="s">
        <v>22</v>
      </c>
      <c r="D123" s="12" t="s">
        <v>17</v>
      </c>
      <c r="E123" s="12">
        <v>1163.01</v>
      </c>
      <c r="F123" s="12">
        <v>5</v>
      </c>
      <c r="G123" s="12">
        <v>0</v>
      </c>
      <c r="H123" s="13">
        <v>45611</v>
      </c>
      <c r="I123" s="37">
        <v>581.5</v>
      </c>
      <c r="J123" s="25">
        <f t="shared" si="5"/>
        <v>960.15350000000058</v>
      </c>
      <c r="K123" s="16">
        <f t="shared" si="6"/>
        <v>934.27</v>
      </c>
      <c r="L123"/>
      <c r="M123"/>
    </row>
    <row r="124" spans="1:13" ht="15.75" customHeight="1" x14ac:dyDescent="0.3">
      <c r="A124" s="35" t="s">
        <v>56</v>
      </c>
      <c r="B124" s="12" t="s">
        <v>47</v>
      </c>
      <c r="C124" s="12" t="s">
        <v>20</v>
      </c>
      <c r="D124" s="12" t="s">
        <v>41</v>
      </c>
      <c r="E124" s="12">
        <v>1014.56</v>
      </c>
      <c r="F124" s="12">
        <v>10</v>
      </c>
      <c r="G124" s="12">
        <v>0.1</v>
      </c>
      <c r="H124" s="13">
        <v>45612</v>
      </c>
      <c r="I124" s="37">
        <v>410.9</v>
      </c>
      <c r="J124" s="25">
        <f t="shared" si="5"/>
        <v>958.66278481012728</v>
      </c>
      <c r="K124" s="16">
        <f t="shared" si="6"/>
        <v>931.29500000000007</v>
      </c>
      <c r="L124"/>
      <c r="M124"/>
    </row>
    <row r="125" spans="1:13" ht="15.75" customHeight="1" x14ac:dyDescent="0.3">
      <c r="A125" s="35" t="s">
        <v>11</v>
      </c>
      <c r="B125" s="12" t="s">
        <v>19</v>
      </c>
      <c r="C125" s="12" t="s">
        <v>22</v>
      </c>
      <c r="D125" s="12" t="s">
        <v>23</v>
      </c>
      <c r="E125" s="12">
        <v>718.04</v>
      </c>
      <c r="F125" s="12">
        <v>14</v>
      </c>
      <c r="G125" s="12">
        <v>0</v>
      </c>
      <c r="H125" s="13">
        <v>45613</v>
      </c>
      <c r="I125" s="37">
        <v>179.51</v>
      </c>
      <c r="J125" s="25">
        <f t="shared" si="5"/>
        <v>956.04294871794934</v>
      </c>
      <c r="K125" s="16">
        <f t="shared" si="6"/>
        <v>928.32</v>
      </c>
      <c r="L125"/>
      <c r="M125"/>
    </row>
    <row r="126" spans="1:13" ht="15.75" customHeight="1" x14ac:dyDescent="0.3">
      <c r="A126" s="35" t="s">
        <v>74</v>
      </c>
      <c r="B126" s="12" t="s">
        <v>19</v>
      </c>
      <c r="C126" s="12" t="s">
        <v>36</v>
      </c>
      <c r="D126" s="12" t="s">
        <v>17</v>
      </c>
      <c r="E126" s="12">
        <v>1277.8499999999999</v>
      </c>
      <c r="F126" s="12">
        <v>18</v>
      </c>
      <c r="G126" s="12">
        <v>0.2</v>
      </c>
      <c r="H126" s="13">
        <v>45613</v>
      </c>
      <c r="I126" s="37">
        <v>511.14</v>
      </c>
      <c r="J126" s="25">
        <f t="shared" si="5"/>
        <v>955.28298701298752</v>
      </c>
      <c r="K126" s="16">
        <f t="shared" si="6"/>
        <v>931.29500000000007</v>
      </c>
      <c r="L126"/>
      <c r="M126"/>
    </row>
    <row r="127" spans="1:13" ht="15.75" customHeight="1" x14ac:dyDescent="0.3">
      <c r="A127" s="35" t="s">
        <v>72</v>
      </c>
      <c r="B127" s="12" t="s">
        <v>25</v>
      </c>
      <c r="C127" s="12" t="s">
        <v>26</v>
      </c>
      <c r="D127" s="12" t="s">
        <v>23</v>
      </c>
      <c r="E127" s="12">
        <v>706.73</v>
      </c>
      <c r="F127" s="12">
        <v>1</v>
      </c>
      <c r="G127" s="12">
        <v>0.15</v>
      </c>
      <c r="H127" s="13">
        <v>45613</v>
      </c>
      <c r="I127" s="37">
        <v>150.18</v>
      </c>
      <c r="J127" s="25">
        <f t="shared" si="5"/>
        <v>958.40460526315849</v>
      </c>
      <c r="K127" s="16">
        <f t="shared" si="6"/>
        <v>928.32</v>
      </c>
      <c r="L127"/>
      <c r="M127"/>
    </row>
    <row r="128" spans="1:13" ht="15.75" customHeight="1" x14ac:dyDescent="0.3">
      <c r="A128" s="35" t="s">
        <v>67</v>
      </c>
      <c r="B128" s="12" t="s">
        <v>52</v>
      </c>
      <c r="C128" s="12" t="s">
        <v>20</v>
      </c>
      <c r="D128" s="12" t="s">
        <v>23</v>
      </c>
      <c r="E128" s="12">
        <v>1410.59</v>
      </c>
      <c r="F128" s="12">
        <v>15</v>
      </c>
      <c r="G128" s="12">
        <v>0</v>
      </c>
      <c r="H128" s="13">
        <v>45615</v>
      </c>
      <c r="I128" s="37">
        <v>352.65</v>
      </c>
      <c r="J128" s="25">
        <f t="shared" si="5"/>
        <v>954.14533333333384</v>
      </c>
      <c r="K128" s="16">
        <f t="shared" si="6"/>
        <v>931.29500000000007</v>
      </c>
      <c r="L128"/>
      <c r="M128"/>
    </row>
    <row r="129" spans="1:13" ht="15.75" customHeight="1" x14ac:dyDescent="0.3">
      <c r="A129" s="35" t="s">
        <v>34</v>
      </c>
      <c r="B129" s="12" t="s">
        <v>63</v>
      </c>
      <c r="C129" s="12" t="s">
        <v>22</v>
      </c>
      <c r="D129" s="12" t="s">
        <v>29</v>
      </c>
      <c r="E129" s="12">
        <v>1350.33</v>
      </c>
      <c r="F129" s="12">
        <v>10</v>
      </c>
      <c r="G129" s="12">
        <v>0</v>
      </c>
      <c r="H129" s="13">
        <v>45615</v>
      </c>
      <c r="I129" s="37">
        <v>472.62</v>
      </c>
      <c r="J129" s="25">
        <f t="shared" si="5"/>
        <v>957.48878378378413</v>
      </c>
      <c r="K129" s="16">
        <f t="shared" si="6"/>
        <v>928.32</v>
      </c>
      <c r="L129"/>
      <c r="M129"/>
    </row>
    <row r="130" spans="1:13" ht="15.75" customHeight="1" x14ac:dyDescent="0.3">
      <c r="A130" s="35" t="s">
        <v>43</v>
      </c>
      <c r="B130" s="12" t="s">
        <v>47</v>
      </c>
      <c r="C130" s="12" t="s">
        <v>20</v>
      </c>
      <c r="D130" s="12" t="s">
        <v>23</v>
      </c>
      <c r="E130" s="12">
        <v>919.18</v>
      </c>
      <c r="F130" s="12">
        <v>4</v>
      </c>
      <c r="G130" s="12">
        <v>0.15</v>
      </c>
      <c r="H130" s="13">
        <v>45615</v>
      </c>
      <c r="I130" s="37">
        <v>195.33</v>
      </c>
      <c r="J130" s="25">
        <f t="shared" si="5"/>
        <v>951.28191780821965</v>
      </c>
      <c r="K130" s="16">
        <f t="shared" si="6"/>
        <v>923.75</v>
      </c>
      <c r="L130"/>
      <c r="M130"/>
    </row>
    <row r="131" spans="1:13" ht="15.75" customHeight="1" x14ac:dyDescent="0.3">
      <c r="A131" s="35" t="s">
        <v>76</v>
      </c>
      <c r="B131" s="12" t="s">
        <v>25</v>
      </c>
      <c r="C131" s="12" t="s">
        <v>13</v>
      </c>
      <c r="D131" s="12" t="s">
        <v>23</v>
      </c>
      <c r="E131" s="12">
        <v>258.51</v>
      </c>
      <c r="F131" s="12">
        <v>19</v>
      </c>
      <c r="G131" s="12">
        <v>0</v>
      </c>
      <c r="H131" s="13">
        <v>45616</v>
      </c>
      <c r="I131" s="37">
        <v>64.63</v>
      </c>
      <c r="J131" s="25">
        <f t="shared" ref="J131:J194" si="7">AVERAGE(E130:E329)</f>
        <v>945.73958333333348</v>
      </c>
      <c r="K131" s="16">
        <f t="shared" ref="K131:K194" si="8">MEDIAN(E131:E329)</f>
        <v>928.32</v>
      </c>
      <c r="L131"/>
      <c r="M131"/>
    </row>
    <row r="132" spans="1:13" ht="15.75" customHeight="1" x14ac:dyDescent="0.3">
      <c r="A132" s="35" t="s">
        <v>65</v>
      </c>
      <c r="B132" s="12" t="s">
        <v>63</v>
      </c>
      <c r="C132" s="12" t="s">
        <v>20</v>
      </c>
      <c r="D132" s="12" t="s">
        <v>14</v>
      </c>
      <c r="E132" s="12">
        <v>1213.48</v>
      </c>
      <c r="F132" s="12">
        <v>5</v>
      </c>
      <c r="G132" s="12">
        <v>0.05</v>
      </c>
      <c r="H132" s="13">
        <v>45616</v>
      </c>
      <c r="I132" s="37">
        <v>461.12</v>
      </c>
      <c r="J132" s="25">
        <f t="shared" si="7"/>
        <v>946.11366197183111</v>
      </c>
      <c r="K132" s="16">
        <f t="shared" si="8"/>
        <v>931.29500000000007</v>
      </c>
      <c r="L132"/>
      <c r="M132"/>
    </row>
    <row r="133" spans="1:13" ht="15.75" customHeight="1" x14ac:dyDescent="0.3">
      <c r="A133" s="35" t="s">
        <v>59</v>
      </c>
      <c r="B133" s="12" t="s">
        <v>40</v>
      </c>
      <c r="C133" s="12" t="s">
        <v>36</v>
      </c>
      <c r="D133" s="12" t="s">
        <v>14</v>
      </c>
      <c r="E133" s="12">
        <v>1150.28</v>
      </c>
      <c r="F133" s="12">
        <v>8</v>
      </c>
      <c r="G133" s="12">
        <v>0.05</v>
      </c>
      <c r="H133" s="13">
        <v>45622</v>
      </c>
      <c r="I133" s="37">
        <v>437.11</v>
      </c>
      <c r="J133" s="25">
        <f t="shared" si="7"/>
        <v>955.9365714285716</v>
      </c>
      <c r="K133" s="16">
        <f t="shared" si="8"/>
        <v>928.32</v>
      </c>
      <c r="L133"/>
      <c r="M133"/>
    </row>
    <row r="134" spans="1:13" ht="15.75" customHeight="1" x14ac:dyDescent="0.3">
      <c r="A134" s="35" t="s">
        <v>39</v>
      </c>
      <c r="B134" s="12" t="s">
        <v>73</v>
      </c>
      <c r="C134" s="12" t="s">
        <v>22</v>
      </c>
      <c r="D134" s="12" t="s">
        <v>29</v>
      </c>
      <c r="E134" s="12">
        <v>853.86</v>
      </c>
      <c r="F134" s="12">
        <v>8</v>
      </c>
      <c r="G134" s="12">
        <v>0.1</v>
      </c>
      <c r="H134" s="13">
        <v>45622</v>
      </c>
      <c r="I134" s="37">
        <v>268.97000000000003</v>
      </c>
      <c r="J134" s="25">
        <f t="shared" si="7"/>
        <v>952.20405797101478</v>
      </c>
      <c r="K134" s="16">
        <f t="shared" si="8"/>
        <v>911.43499999999995</v>
      </c>
      <c r="L134"/>
      <c r="M134"/>
    </row>
    <row r="135" spans="1:13" ht="15.75" customHeight="1" x14ac:dyDescent="0.3">
      <c r="A135" s="35" t="s">
        <v>77</v>
      </c>
      <c r="B135" s="12" t="s">
        <v>47</v>
      </c>
      <c r="C135" s="12" t="s">
        <v>22</v>
      </c>
      <c r="D135" s="12" t="s">
        <v>23</v>
      </c>
      <c r="E135" s="12">
        <v>1061.04</v>
      </c>
      <c r="F135" s="12">
        <v>1</v>
      </c>
      <c r="G135" s="12">
        <v>0</v>
      </c>
      <c r="H135" s="13">
        <v>45624</v>
      </c>
      <c r="I135" s="37">
        <v>265.26</v>
      </c>
      <c r="J135" s="25">
        <f t="shared" si="7"/>
        <v>949.29117647058831</v>
      </c>
      <c r="K135" s="16">
        <f t="shared" si="8"/>
        <v>928.32</v>
      </c>
      <c r="L135"/>
      <c r="M135"/>
    </row>
    <row r="136" spans="1:13" ht="15.75" customHeight="1" x14ac:dyDescent="0.3">
      <c r="A136" s="35" t="s">
        <v>30</v>
      </c>
      <c r="B136" s="12" t="s">
        <v>45</v>
      </c>
      <c r="C136" s="12" t="s">
        <v>13</v>
      </c>
      <c r="D136" s="12" t="s">
        <v>23</v>
      </c>
      <c r="E136" s="12">
        <v>894.55</v>
      </c>
      <c r="F136" s="12">
        <v>19</v>
      </c>
      <c r="G136" s="12">
        <v>0.2</v>
      </c>
      <c r="H136" s="13">
        <v>45625</v>
      </c>
      <c r="I136" s="37">
        <v>178.91</v>
      </c>
      <c r="J136" s="25">
        <f t="shared" si="7"/>
        <v>950.71552238805987</v>
      </c>
      <c r="K136" s="16">
        <f t="shared" si="8"/>
        <v>911.43499999999995</v>
      </c>
      <c r="L136"/>
      <c r="M136"/>
    </row>
    <row r="137" spans="1:13" ht="15.75" customHeight="1" x14ac:dyDescent="0.3">
      <c r="A137" s="35" t="s">
        <v>27</v>
      </c>
      <c r="B137" s="12" t="s">
        <v>40</v>
      </c>
      <c r="C137" s="12" t="s">
        <v>26</v>
      </c>
      <c r="D137" s="12" t="s">
        <v>41</v>
      </c>
      <c r="E137" s="12">
        <v>833.91</v>
      </c>
      <c r="F137" s="12">
        <v>3</v>
      </c>
      <c r="G137" s="12">
        <v>0.05</v>
      </c>
      <c r="H137" s="13">
        <v>45626</v>
      </c>
      <c r="I137" s="37">
        <v>356.5</v>
      </c>
      <c r="J137" s="25">
        <f t="shared" si="7"/>
        <v>949.04393939393958</v>
      </c>
      <c r="K137" s="16">
        <f t="shared" si="8"/>
        <v>928.32</v>
      </c>
      <c r="L137"/>
      <c r="M137"/>
    </row>
    <row r="138" spans="1:13" ht="15.75" customHeight="1" x14ac:dyDescent="0.3">
      <c r="A138" s="35" t="s">
        <v>60</v>
      </c>
      <c r="B138" s="12" t="s">
        <v>73</v>
      </c>
      <c r="C138" s="12" t="s">
        <v>13</v>
      </c>
      <c r="D138" s="12" t="s">
        <v>29</v>
      </c>
      <c r="E138" s="12">
        <v>820.19</v>
      </c>
      <c r="F138" s="12">
        <v>4</v>
      </c>
      <c r="G138" s="12">
        <v>0.2</v>
      </c>
      <c r="H138" s="13">
        <v>45630</v>
      </c>
      <c r="I138" s="37">
        <v>229.65</v>
      </c>
      <c r="J138" s="25">
        <f t="shared" si="7"/>
        <v>949.88230769230779</v>
      </c>
      <c r="K138" s="16">
        <f t="shared" si="8"/>
        <v>931.29500000000007</v>
      </c>
      <c r="L138"/>
      <c r="M138"/>
    </row>
    <row r="139" spans="1:13" ht="15.75" customHeight="1" x14ac:dyDescent="0.3">
      <c r="A139" s="35" t="s">
        <v>60</v>
      </c>
      <c r="B139" s="12" t="s">
        <v>40</v>
      </c>
      <c r="C139" s="12" t="s">
        <v>36</v>
      </c>
      <c r="D139" s="12" t="s">
        <v>23</v>
      </c>
      <c r="E139" s="12">
        <v>511.74</v>
      </c>
      <c r="F139" s="12">
        <v>8</v>
      </c>
      <c r="G139" s="12">
        <v>0.05</v>
      </c>
      <c r="H139" s="13">
        <v>45631</v>
      </c>
      <c r="I139" s="37">
        <v>121.54</v>
      </c>
      <c r="J139" s="25">
        <f t="shared" si="7"/>
        <v>951.69437500000015</v>
      </c>
      <c r="K139" s="16">
        <f t="shared" si="8"/>
        <v>934.27</v>
      </c>
      <c r="L139"/>
      <c r="M139"/>
    </row>
    <row r="140" spans="1:13" ht="15.75" customHeight="1" x14ac:dyDescent="0.3">
      <c r="A140" s="35" t="s">
        <v>67</v>
      </c>
      <c r="B140" s="12" t="s">
        <v>63</v>
      </c>
      <c r="C140" s="12" t="s">
        <v>22</v>
      </c>
      <c r="D140" s="12" t="s">
        <v>29</v>
      </c>
      <c r="E140" s="12">
        <v>806.03</v>
      </c>
      <c r="F140" s="12">
        <v>19</v>
      </c>
      <c r="G140" s="12">
        <v>0.05</v>
      </c>
      <c r="H140" s="13">
        <v>45638</v>
      </c>
      <c r="I140" s="37">
        <v>268</v>
      </c>
      <c r="J140" s="25">
        <f t="shared" si="7"/>
        <v>953.78174603174614</v>
      </c>
      <c r="K140" s="16">
        <f t="shared" si="8"/>
        <v>959.59999999999991</v>
      </c>
      <c r="L140"/>
      <c r="M140"/>
    </row>
    <row r="141" spans="1:13" ht="15.75" customHeight="1" x14ac:dyDescent="0.3">
      <c r="A141" s="35" t="s">
        <v>30</v>
      </c>
      <c r="B141" s="12" t="s">
        <v>28</v>
      </c>
      <c r="C141" s="12" t="s">
        <v>36</v>
      </c>
      <c r="D141" s="12" t="s">
        <v>29</v>
      </c>
      <c r="E141" s="12">
        <v>1432.47</v>
      </c>
      <c r="F141" s="12">
        <v>16</v>
      </c>
      <c r="G141" s="12">
        <v>0.15</v>
      </c>
      <c r="H141" s="13">
        <v>45640</v>
      </c>
      <c r="I141" s="37">
        <v>426.16</v>
      </c>
      <c r="J141" s="25">
        <f t="shared" si="7"/>
        <v>960.91145161290342</v>
      </c>
      <c r="K141" s="16">
        <f t="shared" si="8"/>
        <v>984.93</v>
      </c>
      <c r="L141"/>
      <c r="M141"/>
    </row>
    <row r="142" spans="1:13" ht="15.75" customHeight="1" x14ac:dyDescent="0.3">
      <c r="A142" s="35" t="s">
        <v>76</v>
      </c>
      <c r="B142" s="12" t="s">
        <v>31</v>
      </c>
      <c r="C142" s="12" t="s">
        <v>36</v>
      </c>
      <c r="D142" s="12" t="s">
        <v>23</v>
      </c>
      <c r="E142" s="12">
        <v>1488.58</v>
      </c>
      <c r="F142" s="12">
        <v>10</v>
      </c>
      <c r="G142" s="12">
        <v>0.15</v>
      </c>
      <c r="H142" s="13">
        <v>45640</v>
      </c>
      <c r="I142" s="37">
        <v>316.32</v>
      </c>
      <c r="J142" s="25">
        <f t="shared" si="7"/>
        <v>963.45049180327885</v>
      </c>
      <c r="K142" s="16">
        <f t="shared" si="8"/>
        <v>959.59999999999991</v>
      </c>
      <c r="L142"/>
      <c r="M142"/>
    </row>
    <row r="143" spans="1:13" ht="15.75" customHeight="1" x14ac:dyDescent="0.3">
      <c r="A143" s="35" t="s">
        <v>32</v>
      </c>
      <c r="B143" s="12" t="s">
        <v>68</v>
      </c>
      <c r="C143" s="12" t="s">
        <v>20</v>
      </c>
      <c r="D143" s="12" t="s">
        <v>14</v>
      </c>
      <c r="E143" s="12">
        <v>1231.26</v>
      </c>
      <c r="F143" s="12">
        <v>9</v>
      </c>
      <c r="G143" s="12">
        <v>0</v>
      </c>
      <c r="H143" s="13">
        <v>45646</v>
      </c>
      <c r="I143" s="37">
        <v>492.5</v>
      </c>
      <c r="J143" s="25">
        <f t="shared" si="7"/>
        <v>955.63350000000014</v>
      </c>
      <c r="K143" s="16">
        <f t="shared" si="8"/>
        <v>934.27</v>
      </c>
      <c r="L143"/>
      <c r="M143"/>
    </row>
    <row r="144" spans="1:13" ht="15.75" customHeight="1" x14ac:dyDescent="0.3">
      <c r="A144" s="35" t="s">
        <v>32</v>
      </c>
      <c r="B144" s="12" t="s">
        <v>45</v>
      </c>
      <c r="C144" s="12" t="s">
        <v>13</v>
      </c>
      <c r="D144" s="12" t="s">
        <v>23</v>
      </c>
      <c r="E144" s="12">
        <v>1161.67</v>
      </c>
      <c r="F144" s="12">
        <v>19</v>
      </c>
      <c r="G144" s="12">
        <v>0.2</v>
      </c>
      <c r="H144" s="13">
        <v>45647</v>
      </c>
      <c r="I144" s="37">
        <v>232.33</v>
      </c>
      <c r="J144" s="25">
        <f t="shared" si="7"/>
        <v>946.60050847457637</v>
      </c>
      <c r="K144" s="16">
        <f t="shared" si="8"/>
        <v>931.29500000000007</v>
      </c>
      <c r="L144"/>
      <c r="M144"/>
    </row>
    <row r="145" spans="1:13" ht="15.75" customHeight="1" x14ac:dyDescent="0.3">
      <c r="A145" s="35" t="s">
        <v>51</v>
      </c>
      <c r="B145" s="12" t="s">
        <v>47</v>
      </c>
      <c r="C145" s="12" t="s">
        <v>36</v>
      </c>
      <c r="D145" s="12" t="s">
        <v>41</v>
      </c>
      <c r="E145" s="12">
        <v>388.23</v>
      </c>
      <c r="F145" s="12">
        <v>16</v>
      </c>
      <c r="G145" s="12">
        <v>0.05</v>
      </c>
      <c r="H145" s="13">
        <v>45650</v>
      </c>
      <c r="I145" s="37">
        <v>165.97</v>
      </c>
      <c r="J145" s="25">
        <f t="shared" si="7"/>
        <v>941.69258620689675</v>
      </c>
      <c r="K145" s="16">
        <f t="shared" si="8"/>
        <v>928.32</v>
      </c>
      <c r="L145"/>
      <c r="M145"/>
    </row>
    <row r="146" spans="1:13" ht="15.75" customHeight="1" x14ac:dyDescent="0.3">
      <c r="A146" s="35" t="s">
        <v>74</v>
      </c>
      <c r="B146" s="12" t="s">
        <v>33</v>
      </c>
      <c r="C146" s="12" t="s">
        <v>26</v>
      </c>
      <c r="D146" s="12" t="s">
        <v>17</v>
      </c>
      <c r="E146" s="12">
        <v>1589.42</v>
      </c>
      <c r="F146" s="12">
        <v>6</v>
      </c>
      <c r="G146" s="12">
        <v>0.15</v>
      </c>
      <c r="H146" s="13">
        <v>45651</v>
      </c>
      <c r="I146" s="37">
        <v>675.5</v>
      </c>
      <c r="J146" s="25">
        <f t="shared" si="7"/>
        <v>937.83333333333348</v>
      </c>
      <c r="K146" s="16">
        <f t="shared" si="8"/>
        <v>931.29500000000007</v>
      </c>
      <c r="L146"/>
      <c r="M146"/>
    </row>
    <row r="147" spans="1:13" ht="15.75" customHeight="1" x14ac:dyDescent="0.3">
      <c r="A147" s="35" t="s">
        <v>30</v>
      </c>
      <c r="B147" s="12" t="s">
        <v>73</v>
      </c>
      <c r="C147" s="12" t="s">
        <v>26</v>
      </c>
      <c r="D147" s="12" t="s">
        <v>17</v>
      </c>
      <c r="E147" s="12">
        <v>336.66</v>
      </c>
      <c r="F147" s="12">
        <v>13</v>
      </c>
      <c r="G147" s="12">
        <v>0.2</v>
      </c>
      <c r="H147" s="13">
        <v>45651</v>
      </c>
      <c r="I147" s="37">
        <v>134.66</v>
      </c>
      <c r="J147" s="25">
        <f t="shared" si="7"/>
        <v>947.64767857142874</v>
      </c>
      <c r="K147" s="16">
        <f t="shared" si="8"/>
        <v>928.32</v>
      </c>
      <c r="L147"/>
      <c r="M147"/>
    </row>
    <row r="148" spans="1:13" ht="15.75" customHeight="1" x14ac:dyDescent="0.3">
      <c r="A148" s="35" t="s">
        <v>51</v>
      </c>
      <c r="B148" s="12" t="s">
        <v>25</v>
      </c>
      <c r="C148" s="12" t="s">
        <v>13</v>
      </c>
      <c r="D148" s="12" t="s">
        <v>14</v>
      </c>
      <c r="E148" s="12">
        <v>1353.79</v>
      </c>
      <c r="F148" s="12">
        <v>14</v>
      </c>
      <c r="G148" s="12">
        <v>0.1</v>
      </c>
      <c r="H148" s="13">
        <v>45656</v>
      </c>
      <c r="I148" s="37">
        <v>487.36</v>
      </c>
      <c r="J148" s="25">
        <f t="shared" si="7"/>
        <v>935.97909090909093</v>
      </c>
      <c r="K148" s="16">
        <f t="shared" si="8"/>
        <v>931.29500000000007</v>
      </c>
      <c r="L148"/>
      <c r="M148"/>
    </row>
    <row r="149" spans="1:13" ht="15.75" customHeight="1" x14ac:dyDescent="0.3">
      <c r="A149" s="35" t="s">
        <v>65</v>
      </c>
      <c r="B149" s="12" t="s">
        <v>71</v>
      </c>
      <c r="C149" s="12" t="s">
        <v>36</v>
      </c>
      <c r="D149" s="12" t="s">
        <v>17</v>
      </c>
      <c r="E149" s="12">
        <v>662.61</v>
      </c>
      <c r="F149" s="12">
        <v>11</v>
      </c>
      <c r="G149" s="12">
        <v>0.05</v>
      </c>
      <c r="H149" s="13">
        <v>45658</v>
      </c>
      <c r="I149" s="37">
        <v>314.74</v>
      </c>
      <c r="J149" s="25">
        <f t="shared" si="7"/>
        <v>947.07759259259262</v>
      </c>
      <c r="K149" s="16">
        <f t="shared" si="8"/>
        <v>928.32</v>
      </c>
      <c r="L149"/>
      <c r="M149"/>
    </row>
    <row r="150" spans="1:13" ht="15.75" customHeight="1" x14ac:dyDescent="0.3">
      <c r="A150" s="35" t="s">
        <v>54</v>
      </c>
      <c r="B150" s="12" t="s">
        <v>50</v>
      </c>
      <c r="C150" s="12" t="s">
        <v>26</v>
      </c>
      <c r="D150" s="12" t="s">
        <v>41</v>
      </c>
      <c r="E150" s="12">
        <v>309.42</v>
      </c>
      <c r="F150" s="12">
        <v>1</v>
      </c>
      <c r="G150" s="12">
        <v>0.2</v>
      </c>
      <c r="H150" s="13">
        <v>45658</v>
      </c>
      <c r="I150" s="37">
        <v>111.39</v>
      </c>
      <c r="J150" s="25">
        <f t="shared" si="7"/>
        <v>939.40377358490571</v>
      </c>
      <c r="K150" s="16">
        <f t="shared" si="8"/>
        <v>931.29500000000007</v>
      </c>
      <c r="L150"/>
      <c r="M150"/>
    </row>
    <row r="151" spans="1:13" ht="15.75" customHeight="1" x14ac:dyDescent="0.3">
      <c r="A151" s="35" t="s">
        <v>65</v>
      </c>
      <c r="B151" s="12" t="s">
        <v>31</v>
      </c>
      <c r="C151" s="12" t="s">
        <v>26</v>
      </c>
      <c r="D151" s="12" t="s">
        <v>14</v>
      </c>
      <c r="E151" s="12">
        <v>884.63</v>
      </c>
      <c r="F151" s="12">
        <v>18</v>
      </c>
      <c r="G151" s="12">
        <v>0.1</v>
      </c>
      <c r="H151" s="13">
        <v>45659</v>
      </c>
      <c r="I151" s="37">
        <v>318.47000000000003</v>
      </c>
      <c r="J151" s="25">
        <f t="shared" si="7"/>
        <v>944.72673076923081</v>
      </c>
      <c r="K151" s="16">
        <f t="shared" si="8"/>
        <v>934.27</v>
      </c>
      <c r="L151"/>
      <c r="M151"/>
    </row>
    <row r="152" spans="1:13" ht="15.75" customHeight="1" x14ac:dyDescent="0.3">
      <c r="A152" s="35" t="s">
        <v>54</v>
      </c>
      <c r="B152" s="12" t="s">
        <v>25</v>
      </c>
      <c r="C152" s="12" t="s">
        <v>36</v>
      </c>
      <c r="D152" s="12" t="s">
        <v>41</v>
      </c>
      <c r="E152" s="12">
        <v>745.05</v>
      </c>
      <c r="F152" s="12">
        <v>10</v>
      </c>
      <c r="G152" s="12">
        <v>0.1</v>
      </c>
      <c r="H152" s="13">
        <v>45660</v>
      </c>
      <c r="I152" s="37">
        <v>301.75</v>
      </c>
      <c r="J152" s="25">
        <f t="shared" si="7"/>
        <v>957.18372549019614</v>
      </c>
      <c r="K152" s="16">
        <f t="shared" si="8"/>
        <v>959.59999999999991</v>
      </c>
      <c r="L152"/>
      <c r="M152"/>
    </row>
    <row r="153" spans="1:13" ht="15.75" customHeight="1" x14ac:dyDescent="0.3">
      <c r="A153" s="35" t="s">
        <v>62</v>
      </c>
      <c r="B153" s="12" t="s">
        <v>19</v>
      </c>
      <c r="C153" s="12" t="s">
        <v>22</v>
      </c>
      <c r="D153" s="12" t="s">
        <v>17</v>
      </c>
      <c r="E153" s="12">
        <v>870.23</v>
      </c>
      <c r="F153" s="12">
        <v>5</v>
      </c>
      <c r="G153" s="12">
        <v>0.05</v>
      </c>
      <c r="H153" s="13">
        <v>45660</v>
      </c>
      <c r="I153" s="37">
        <v>413.36</v>
      </c>
      <c r="J153" s="25">
        <f t="shared" si="7"/>
        <v>958.63479999999981</v>
      </c>
      <c r="K153" s="16">
        <f t="shared" si="8"/>
        <v>984.93</v>
      </c>
      <c r="L153"/>
      <c r="M153"/>
    </row>
    <row r="154" spans="1:13" ht="15.75" customHeight="1" x14ac:dyDescent="0.3">
      <c r="A154" s="35" t="s">
        <v>37</v>
      </c>
      <c r="B154" s="12" t="s">
        <v>31</v>
      </c>
      <c r="C154" s="12" t="s">
        <v>13</v>
      </c>
      <c r="D154" s="12" t="s">
        <v>29</v>
      </c>
      <c r="E154" s="12">
        <v>862.19</v>
      </c>
      <c r="F154" s="12">
        <v>18</v>
      </c>
      <c r="G154" s="12">
        <v>0.05</v>
      </c>
      <c r="H154" s="13">
        <v>45663</v>
      </c>
      <c r="I154" s="37">
        <v>286.68</v>
      </c>
      <c r="J154" s="25">
        <f t="shared" si="7"/>
        <v>962.99367346938755</v>
      </c>
      <c r="K154" s="16">
        <f t="shared" si="8"/>
        <v>991.27</v>
      </c>
      <c r="L154"/>
      <c r="M154"/>
    </row>
    <row r="155" spans="1:13" ht="15.75" customHeight="1" x14ac:dyDescent="0.3">
      <c r="A155" s="35" t="s">
        <v>75</v>
      </c>
      <c r="B155" s="12" t="s">
        <v>61</v>
      </c>
      <c r="C155" s="12" t="s">
        <v>26</v>
      </c>
      <c r="D155" s="12" t="s">
        <v>17</v>
      </c>
      <c r="E155" s="12">
        <v>1171.18</v>
      </c>
      <c r="F155" s="12">
        <v>19</v>
      </c>
      <c r="G155" s="12">
        <v>0.05</v>
      </c>
      <c r="H155" s="13">
        <v>45667</v>
      </c>
      <c r="I155" s="37">
        <v>556.30999999999995</v>
      </c>
      <c r="J155" s="25">
        <f t="shared" si="7"/>
        <v>964.92624999999987</v>
      </c>
      <c r="K155" s="16">
        <f t="shared" si="8"/>
        <v>997.61</v>
      </c>
      <c r="L155"/>
      <c r="M155"/>
    </row>
    <row r="156" spans="1:13" ht="15.75" customHeight="1" x14ac:dyDescent="0.3">
      <c r="A156" s="35" t="s">
        <v>60</v>
      </c>
      <c r="B156" s="12" t="s">
        <v>16</v>
      </c>
      <c r="C156" s="12" t="s">
        <v>22</v>
      </c>
      <c r="D156" s="12" t="s">
        <v>29</v>
      </c>
      <c r="E156" s="12">
        <v>1054.56</v>
      </c>
      <c r="F156" s="12">
        <v>11</v>
      </c>
      <c r="G156" s="12">
        <v>0.1</v>
      </c>
      <c r="H156" s="13">
        <v>45669</v>
      </c>
      <c r="I156" s="37">
        <v>332.19</v>
      </c>
      <c r="J156" s="25">
        <f t="shared" si="7"/>
        <v>967.1121276595743</v>
      </c>
      <c r="K156" s="16">
        <f t="shared" si="8"/>
        <v>991.27</v>
      </c>
      <c r="L156"/>
      <c r="M156"/>
    </row>
    <row r="157" spans="1:13" ht="15.75" customHeight="1" x14ac:dyDescent="0.3">
      <c r="A157" s="35" t="s">
        <v>60</v>
      </c>
      <c r="B157" s="12" t="s">
        <v>25</v>
      </c>
      <c r="C157" s="12" t="s">
        <v>26</v>
      </c>
      <c r="D157" s="12" t="s">
        <v>23</v>
      </c>
      <c r="E157" s="12">
        <v>1681.21</v>
      </c>
      <c r="F157" s="12">
        <v>5</v>
      </c>
      <c r="G157" s="12">
        <v>0.2</v>
      </c>
      <c r="H157" s="13">
        <v>45670</v>
      </c>
      <c r="I157" s="37">
        <v>336.24</v>
      </c>
      <c r="J157" s="25">
        <f t="shared" si="7"/>
        <v>962.67586956521734</v>
      </c>
      <c r="K157" s="16">
        <f t="shared" si="8"/>
        <v>984.93</v>
      </c>
      <c r="L157"/>
      <c r="M157"/>
    </row>
    <row r="158" spans="1:13" ht="15.75" customHeight="1" x14ac:dyDescent="0.3">
      <c r="A158" s="35" t="s">
        <v>60</v>
      </c>
      <c r="B158" s="12" t="s">
        <v>38</v>
      </c>
      <c r="C158" s="12" t="s">
        <v>13</v>
      </c>
      <c r="D158" s="12" t="s">
        <v>17</v>
      </c>
      <c r="E158" s="12">
        <v>379.77</v>
      </c>
      <c r="F158" s="12">
        <v>9</v>
      </c>
      <c r="G158" s="12">
        <v>0.05</v>
      </c>
      <c r="H158" s="13">
        <v>45673</v>
      </c>
      <c r="I158" s="37">
        <v>180.39</v>
      </c>
      <c r="J158" s="25">
        <f t="shared" si="7"/>
        <v>960.63400000000001</v>
      </c>
      <c r="K158" s="16">
        <f t="shared" si="8"/>
        <v>959.59999999999991</v>
      </c>
      <c r="L158"/>
      <c r="M158"/>
    </row>
    <row r="159" spans="1:13" ht="15.75" customHeight="1" x14ac:dyDescent="0.3">
      <c r="A159" s="35" t="s">
        <v>46</v>
      </c>
      <c r="B159" s="12" t="s">
        <v>47</v>
      </c>
      <c r="C159" s="12" t="s">
        <v>36</v>
      </c>
      <c r="D159" s="12" t="s">
        <v>17</v>
      </c>
      <c r="E159" s="12">
        <v>1076.33</v>
      </c>
      <c r="F159" s="12">
        <v>2</v>
      </c>
      <c r="G159" s="12">
        <v>0.1</v>
      </c>
      <c r="H159" s="13">
        <v>45674</v>
      </c>
      <c r="I159" s="37">
        <v>484.35</v>
      </c>
      <c r="J159" s="25">
        <f t="shared" si="7"/>
        <v>944.25727272727272</v>
      </c>
      <c r="K159" s="16">
        <f t="shared" si="8"/>
        <v>984.93</v>
      </c>
      <c r="L159"/>
      <c r="M159"/>
    </row>
    <row r="160" spans="1:13" ht="15.75" customHeight="1" x14ac:dyDescent="0.3">
      <c r="A160" s="35" t="s">
        <v>46</v>
      </c>
      <c r="B160" s="12" t="s">
        <v>33</v>
      </c>
      <c r="C160" s="12" t="s">
        <v>36</v>
      </c>
      <c r="D160" s="12" t="s">
        <v>41</v>
      </c>
      <c r="E160" s="12">
        <v>1250.71</v>
      </c>
      <c r="F160" s="12">
        <v>7</v>
      </c>
      <c r="G160" s="12">
        <v>0</v>
      </c>
      <c r="H160" s="13">
        <v>45674</v>
      </c>
      <c r="I160" s="37">
        <v>562.82000000000005</v>
      </c>
      <c r="J160" s="25">
        <f t="shared" si="7"/>
        <v>957.38488372093025</v>
      </c>
      <c r="K160" s="16">
        <f t="shared" si="8"/>
        <v>959.59999999999991</v>
      </c>
      <c r="L160"/>
      <c r="M160"/>
    </row>
    <row r="161" spans="1:13" ht="15.75" customHeight="1" x14ac:dyDescent="0.3">
      <c r="A161" s="35" t="s">
        <v>42</v>
      </c>
      <c r="B161" s="12" t="s">
        <v>19</v>
      </c>
      <c r="C161" s="12" t="s">
        <v>22</v>
      </c>
      <c r="D161" s="12" t="s">
        <v>17</v>
      </c>
      <c r="E161" s="12">
        <v>1118.3399999999999</v>
      </c>
      <c r="F161" s="12">
        <v>6</v>
      </c>
      <c r="G161" s="12">
        <v>0.2</v>
      </c>
      <c r="H161" s="13">
        <v>45674</v>
      </c>
      <c r="I161" s="37">
        <v>447.34</v>
      </c>
      <c r="J161" s="25">
        <f t="shared" si="7"/>
        <v>954.55285714285719</v>
      </c>
      <c r="K161" s="16">
        <f t="shared" si="8"/>
        <v>934.27</v>
      </c>
      <c r="L161"/>
      <c r="M161"/>
    </row>
    <row r="162" spans="1:13" ht="15.75" customHeight="1" x14ac:dyDescent="0.3">
      <c r="A162" s="35" t="s">
        <v>72</v>
      </c>
      <c r="B162" s="12" t="s">
        <v>55</v>
      </c>
      <c r="C162" s="12" t="s">
        <v>26</v>
      </c>
      <c r="D162" s="12" t="s">
        <v>17</v>
      </c>
      <c r="E162" s="12">
        <v>1622.62</v>
      </c>
      <c r="F162" s="12">
        <v>12</v>
      </c>
      <c r="G162" s="12">
        <v>0.2</v>
      </c>
      <c r="H162" s="13">
        <v>45677</v>
      </c>
      <c r="I162" s="37">
        <v>649.04999999999995</v>
      </c>
      <c r="J162" s="25">
        <f t="shared" si="7"/>
        <v>947.32951219512188</v>
      </c>
      <c r="K162" s="16">
        <f t="shared" si="8"/>
        <v>931.29500000000007</v>
      </c>
      <c r="L162"/>
      <c r="M162"/>
    </row>
    <row r="163" spans="1:13" ht="15.75" customHeight="1" x14ac:dyDescent="0.3">
      <c r="A163" s="35" t="s">
        <v>77</v>
      </c>
      <c r="B163" s="12" t="s">
        <v>50</v>
      </c>
      <c r="C163" s="12" t="s">
        <v>26</v>
      </c>
      <c r="D163" s="12" t="s">
        <v>14</v>
      </c>
      <c r="E163" s="12">
        <v>640.64</v>
      </c>
      <c r="F163" s="12">
        <v>11</v>
      </c>
      <c r="G163" s="12">
        <v>0.2</v>
      </c>
      <c r="H163" s="13">
        <v>45678</v>
      </c>
      <c r="I163" s="37">
        <v>205</v>
      </c>
      <c r="J163" s="25">
        <f t="shared" si="7"/>
        <v>943.05424999999991</v>
      </c>
      <c r="K163" s="16">
        <f t="shared" si="8"/>
        <v>928.32</v>
      </c>
      <c r="L163"/>
      <c r="M163"/>
    </row>
    <row r="164" spans="1:13" ht="15.75" customHeight="1" x14ac:dyDescent="0.3">
      <c r="A164" s="35" t="s">
        <v>24</v>
      </c>
      <c r="B164" s="12" t="s">
        <v>45</v>
      </c>
      <c r="C164" s="12" t="s">
        <v>13</v>
      </c>
      <c r="D164" s="12" t="s">
        <v>17</v>
      </c>
      <c r="E164" s="12">
        <v>585.16</v>
      </c>
      <c r="F164" s="12">
        <v>17</v>
      </c>
      <c r="G164" s="12">
        <v>0.1</v>
      </c>
      <c r="H164" s="13">
        <v>45684</v>
      </c>
      <c r="I164" s="37">
        <v>263.32</v>
      </c>
      <c r="J164" s="25">
        <f t="shared" si="7"/>
        <v>925.62948717948723</v>
      </c>
      <c r="K164" s="16">
        <f t="shared" si="8"/>
        <v>931.29500000000007</v>
      </c>
      <c r="L164"/>
      <c r="M164"/>
    </row>
    <row r="165" spans="1:13" ht="15.75" customHeight="1" x14ac:dyDescent="0.3">
      <c r="A165" s="35" t="s">
        <v>24</v>
      </c>
      <c r="B165" s="12" t="s">
        <v>33</v>
      </c>
      <c r="C165" s="12" t="s">
        <v>20</v>
      </c>
      <c r="D165" s="12" t="s">
        <v>17</v>
      </c>
      <c r="E165" s="12">
        <v>1109.98</v>
      </c>
      <c r="F165" s="12">
        <v>5</v>
      </c>
      <c r="G165" s="12">
        <v>0.2</v>
      </c>
      <c r="H165" s="13">
        <v>45690</v>
      </c>
      <c r="I165" s="37">
        <v>443.99</v>
      </c>
      <c r="J165" s="25">
        <f t="shared" si="7"/>
        <v>933.12921052631589</v>
      </c>
      <c r="K165" s="16">
        <f t="shared" si="8"/>
        <v>934.27</v>
      </c>
      <c r="L165"/>
      <c r="M165"/>
    </row>
    <row r="166" spans="1:13" ht="15.75" customHeight="1" x14ac:dyDescent="0.3">
      <c r="A166" s="35" t="s">
        <v>60</v>
      </c>
      <c r="B166" s="12" t="s">
        <v>47</v>
      </c>
      <c r="C166" s="12" t="s">
        <v>20</v>
      </c>
      <c r="D166" s="12" t="s">
        <v>14</v>
      </c>
      <c r="E166" s="12">
        <v>1098.08</v>
      </c>
      <c r="F166" s="12">
        <v>9</v>
      </c>
      <c r="G166" s="12">
        <v>0.1</v>
      </c>
      <c r="H166" s="13">
        <v>45692</v>
      </c>
      <c r="I166" s="37">
        <v>395.31</v>
      </c>
      <c r="J166" s="25">
        <f t="shared" si="7"/>
        <v>942.53378378378375</v>
      </c>
      <c r="K166" s="16">
        <f t="shared" si="8"/>
        <v>931.29500000000007</v>
      </c>
      <c r="L166"/>
      <c r="M166"/>
    </row>
    <row r="167" spans="1:13" ht="15.75" customHeight="1" x14ac:dyDescent="0.3">
      <c r="A167" s="35" t="s">
        <v>67</v>
      </c>
      <c r="B167" s="12" t="s">
        <v>50</v>
      </c>
      <c r="C167" s="12" t="s">
        <v>13</v>
      </c>
      <c r="D167" s="12" t="s">
        <v>41</v>
      </c>
      <c r="E167" s="12">
        <v>827.25</v>
      </c>
      <c r="F167" s="12">
        <v>7</v>
      </c>
      <c r="G167" s="12">
        <v>0.1</v>
      </c>
      <c r="H167" s="13">
        <v>45693</v>
      </c>
      <c r="I167" s="37">
        <v>335.04</v>
      </c>
      <c r="J167" s="25">
        <f t="shared" si="7"/>
        <v>937.88249999999994</v>
      </c>
      <c r="K167" s="16">
        <f t="shared" si="8"/>
        <v>928.32</v>
      </c>
      <c r="L167"/>
      <c r="M167"/>
    </row>
    <row r="168" spans="1:13" ht="15.75" customHeight="1" x14ac:dyDescent="0.3">
      <c r="A168" s="35" t="s">
        <v>72</v>
      </c>
      <c r="B168" s="12" t="s">
        <v>31</v>
      </c>
      <c r="C168" s="12" t="s">
        <v>36</v>
      </c>
      <c r="D168" s="12" t="s">
        <v>17</v>
      </c>
      <c r="E168" s="12">
        <v>741.88</v>
      </c>
      <c r="F168" s="12">
        <v>16</v>
      </c>
      <c r="G168" s="12">
        <v>0.1</v>
      </c>
      <c r="H168" s="13">
        <v>45695</v>
      </c>
      <c r="I168" s="37">
        <v>333.85</v>
      </c>
      <c r="J168" s="25">
        <f t="shared" si="7"/>
        <v>933.30542857142848</v>
      </c>
      <c r="K168" s="16">
        <f t="shared" si="8"/>
        <v>931.29500000000007</v>
      </c>
      <c r="L168"/>
      <c r="M168"/>
    </row>
    <row r="169" spans="1:13" ht="15.75" customHeight="1" x14ac:dyDescent="0.3">
      <c r="A169" s="35" t="s">
        <v>74</v>
      </c>
      <c r="B169" s="12" t="s">
        <v>12</v>
      </c>
      <c r="C169" s="12" t="s">
        <v>20</v>
      </c>
      <c r="D169" s="12" t="s">
        <v>41</v>
      </c>
      <c r="E169" s="12">
        <v>1311.26</v>
      </c>
      <c r="F169" s="12">
        <v>6</v>
      </c>
      <c r="G169" s="12">
        <v>0.1</v>
      </c>
      <c r="H169" s="13">
        <v>45698</v>
      </c>
      <c r="I169" s="37">
        <v>531.05999999999995</v>
      </c>
      <c r="J169" s="25">
        <f t="shared" si="7"/>
        <v>936.42470588235301</v>
      </c>
      <c r="K169" s="16">
        <f t="shared" si="8"/>
        <v>934.27</v>
      </c>
      <c r="L169"/>
      <c r="M169"/>
    </row>
    <row r="170" spans="1:13" ht="15.75" customHeight="1" x14ac:dyDescent="0.3">
      <c r="A170" s="35" t="s">
        <v>74</v>
      </c>
      <c r="B170" s="12" t="s">
        <v>33</v>
      </c>
      <c r="C170" s="12" t="s">
        <v>22</v>
      </c>
      <c r="D170" s="12" t="s">
        <v>41</v>
      </c>
      <c r="E170" s="12">
        <v>573.32000000000005</v>
      </c>
      <c r="F170" s="12">
        <v>19</v>
      </c>
      <c r="G170" s="12">
        <v>0.1</v>
      </c>
      <c r="H170" s="13">
        <v>45703</v>
      </c>
      <c r="I170" s="37">
        <v>232.19</v>
      </c>
      <c r="J170" s="25">
        <f t="shared" si="7"/>
        <v>942.32</v>
      </c>
      <c r="K170" s="16">
        <f t="shared" si="8"/>
        <v>931.29500000000007</v>
      </c>
      <c r="L170"/>
      <c r="M170"/>
    </row>
    <row r="171" spans="1:13" ht="15.75" customHeight="1" x14ac:dyDescent="0.3">
      <c r="A171" s="35" t="s">
        <v>54</v>
      </c>
      <c r="B171" s="12" t="s">
        <v>25</v>
      </c>
      <c r="C171" s="12" t="s">
        <v>13</v>
      </c>
      <c r="D171" s="12" t="s">
        <v>23</v>
      </c>
      <c r="E171" s="12">
        <v>1115.22</v>
      </c>
      <c r="F171" s="12">
        <v>14</v>
      </c>
      <c r="G171" s="12">
        <v>0.2</v>
      </c>
      <c r="H171" s="13">
        <v>45705</v>
      </c>
      <c r="I171" s="37">
        <v>223.04</v>
      </c>
      <c r="J171" s="25">
        <f t="shared" si="7"/>
        <v>930.79062499999998</v>
      </c>
      <c r="K171" s="16">
        <f t="shared" si="8"/>
        <v>934.27</v>
      </c>
      <c r="L171"/>
      <c r="M171"/>
    </row>
    <row r="172" spans="1:13" ht="15.75" customHeight="1" x14ac:dyDescent="0.3">
      <c r="A172" s="35" t="s">
        <v>15</v>
      </c>
      <c r="B172" s="12" t="s">
        <v>47</v>
      </c>
      <c r="C172" s="12" t="s">
        <v>26</v>
      </c>
      <c r="D172" s="12" t="s">
        <v>17</v>
      </c>
      <c r="E172" s="12">
        <v>845.84</v>
      </c>
      <c r="F172" s="12">
        <v>4</v>
      </c>
      <c r="G172" s="12">
        <v>0</v>
      </c>
      <c r="H172" s="13">
        <v>45707</v>
      </c>
      <c r="I172" s="37">
        <v>422.92</v>
      </c>
      <c r="J172" s="25">
        <f t="shared" si="7"/>
        <v>942.3219354838709</v>
      </c>
      <c r="K172" s="16">
        <f t="shared" si="8"/>
        <v>931.29500000000007</v>
      </c>
      <c r="L172"/>
      <c r="M172"/>
    </row>
    <row r="173" spans="1:13" ht="15.75" customHeight="1" x14ac:dyDescent="0.3">
      <c r="A173" s="35" t="s">
        <v>32</v>
      </c>
      <c r="B173" s="12" t="s">
        <v>57</v>
      </c>
      <c r="C173" s="12" t="s">
        <v>13</v>
      </c>
      <c r="D173" s="12" t="s">
        <v>23</v>
      </c>
      <c r="E173" s="12">
        <v>1029.8</v>
      </c>
      <c r="F173" s="12">
        <v>3</v>
      </c>
      <c r="G173" s="12">
        <v>0</v>
      </c>
      <c r="H173" s="13">
        <v>45708</v>
      </c>
      <c r="I173" s="37">
        <v>257.45</v>
      </c>
      <c r="J173" s="25">
        <f t="shared" si="7"/>
        <v>936.55866666666657</v>
      </c>
      <c r="K173" s="16">
        <f t="shared" si="8"/>
        <v>934.27</v>
      </c>
      <c r="L173"/>
      <c r="M173"/>
    </row>
    <row r="174" spans="1:13" ht="15.75" customHeight="1" x14ac:dyDescent="0.3">
      <c r="A174" s="35" t="s">
        <v>34</v>
      </c>
      <c r="B174" s="12" t="s">
        <v>33</v>
      </c>
      <c r="C174" s="12" t="s">
        <v>26</v>
      </c>
      <c r="D174" s="12" t="s">
        <v>14</v>
      </c>
      <c r="E174" s="12">
        <v>1189.83</v>
      </c>
      <c r="F174" s="12">
        <v>2</v>
      </c>
      <c r="G174" s="12">
        <v>0.2</v>
      </c>
      <c r="H174" s="13">
        <v>45709</v>
      </c>
      <c r="I174" s="37">
        <v>380.75</v>
      </c>
      <c r="J174" s="25">
        <f t="shared" si="7"/>
        <v>939.68689655172409</v>
      </c>
      <c r="K174" s="16">
        <f t="shared" si="8"/>
        <v>931.29500000000007</v>
      </c>
      <c r="L174"/>
      <c r="M174"/>
    </row>
    <row r="175" spans="1:13" ht="15.75" customHeight="1" x14ac:dyDescent="0.3">
      <c r="A175" s="35" t="s">
        <v>69</v>
      </c>
      <c r="B175" s="12" t="s">
        <v>45</v>
      </c>
      <c r="C175" s="12" t="s">
        <v>22</v>
      </c>
      <c r="D175" s="12" t="s">
        <v>14</v>
      </c>
      <c r="E175" s="12">
        <v>704.28</v>
      </c>
      <c r="F175" s="12">
        <v>15</v>
      </c>
      <c r="G175" s="12">
        <v>0.2</v>
      </c>
      <c r="H175" s="13">
        <v>45712</v>
      </c>
      <c r="I175" s="37">
        <v>225.37</v>
      </c>
      <c r="J175" s="25">
        <f t="shared" si="7"/>
        <v>936.46857142857141</v>
      </c>
      <c r="K175" s="16">
        <f t="shared" si="8"/>
        <v>928.32</v>
      </c>
      <c r="L175"/>
      <c r="M175"/>
    </row>
    <row r="176" spans="1:13" ht="15.75" customHeight="1" x14ac:dyDescent="0.3">
      <c r="A176" s="35" t="s">
        <v>67</v>
      </c>
      <c r="B176" s="12" t="s">
        <v>49</v>
      </c>
      <c r="C176" s="12" t="s">
        <v>36</v>
      </c>
      <c r="D176" s="12" t="s">
        <v>41</v>
      </c>
      <c r="E176" s="12">
        <v>1618.22</v>
      </c>
      <c r="F176" s="12">
        <v>12</v>
      </c>
      <c r="G176" s="12">
        <v>0.2</v>
      </c>
      <c r="H176" s="13">
        <v>45712</v>
      </c>
      <c r="I176" s="37">
        <v>582.55999999999995</v>
      </c>
      <c r="J176" s="25">
        <f t="shared" si="7"/>
        <v>927.08481481481476</v>
      </c>
      <c r="K176" s="16">
        <f t="shared" si="8"/>
        <v>931.29500000000007</v>
      </c>
      <c r="L176"/>
      <c r="M176"/>
    </row>
    <row r="177" spans="1:13" ht="15.75" customHeight="1" x14ac:dyDescent="0.3">
      <c r="A177" s="35" t="s">
        <v>75</v>
      </c>
      <c r="B177" s="12" t="s">
        <v>55</v>
      </c>
      <c r="C177" s="12" t="s">
        <v>36</v>
      </c>
      <c r="D177" s="12" t="s">
        <v>14</v>
      </c>
      <c r="E177" s="12">
        <v>1014.43</v>
      </c>
      <c r="F177" s="12">
        <v>2</v>
      </c>
      <c r="G177" s="12">
        <v>0.15</v>
      </c>
      <c r="H177" s="13">
        <v>45713</v>
      </c>
      <c r="I177" s="37">
        <v>344.91</v>
      </c>
      <c r="J177" s="25">
        <f t="shared" si="7"/>
        <v>935.65423076923071</v>
      </c>
      <c r="K177" s="16">
        <f t="shared" si="8"/>
        <v>928.32</v>
      </c>
      <c r="L177"/>
      <c r="M177"/>
    </row>
    <row r="178" spans="1:13" ht="15.75" customHeight="1" x14ac:dyDescent="0.3">
      <c r="A178" s="35" t="s">
        <v>77</v>
      </c>
      <c r="B178" s="12" t="s">
        <v>33</v>
      </c>
      <c r="C178" s="12" t="s">
        <v>36</v>
      </c>
      <c r="D178" s="12" t="s">
        <v>17</v>
      </c>
      <c r="E178" s="12">
        <v>826.97</v>
      </c>
      <c r="F178" s="12">
        <v>18</v>
      </c>
      <c r="G178" s="12">
        <v>0.2</v>
      </c>
      <c r="H178" s="13">
        <v>45715</v>
      </c>
      <c r="I178" s="37">
        <v>330.79</v>
      </c>
      <c r="J178" s="25">
        <f t="shared" si="7"/>
        <v>908.35159999999985</v>
      </c>
      <c r="K178" s="16">
        <f t="shared" si="8"/>
        <v>896.65000000000009</v>
      </c>
      <c r="L178"/>
      <c r="M178"/>
    </row>
    <row r="179" spans="1:13" ht="15.75" customHeight="1" x14ac:dyDescent="0.3">
      <c r="A179" s="35" t="s">
        <v>18</v>
      </c>
      <c r="B179" s="12" t="s">
        <v>33</v>
      </c>
      <c r="C179" s="12" t="s">
        <v>36</v>
      </c>
      <c r="D179" s="12" t="s">
        <v>17</v>
      </c>
      <c r="E179" s="12">
        <v>1022.23</v>
      </c>
      <c r="F179" s="12">
        <v>8</v>
      </c>
      <c r="G179" s="12">
        <v>0.1</v>
      </c>
      <c r="H179" s="13">
        <v>45717</v>
      </c>
      <c r="I179" s="37">
        <v>460</v>
      </c>
      <c r="J179" s="25">
        <f t="shared" si="7"/>
        <v>903.9316666666665</v>
      </c>
      <c r="K179" s="16">
        <f t="shared" si="8"/>
        <v>928.32</v>
      </c>
      <c r="L179"/>
      <c r="M179"/>
    </row>
    <row r="180" spans="1:13" ht="15.75" customHeight="1" x14ac:dyDescent="0.3">
      <c r="A180" s="35" t="s">
        <v>74</v>
      </c>
      <c r="B180" s="12" t="s">
        <v>31</v>
      </c>
      <c r="C180" s="12" t="s">
        <v>20</v>
      </c>
      <c r="D180" s="12" t="s">
        <v>14</v>
      </c>
      <c r="E180" s="12">
        <v>1099.69</v>
      </c>
      <c r="F180" s="12">
        <v>6</v>
      </c>
      <c r="G180" s="12">
        <v>0</v>
      </c>
      <c r="H180" s="13">
        <v>45718</v>
      </c>
      <c r="I180" s="37">
        <v>439.88</v>
      </c>
      <c r="J180" s="25">
        <f t="shared" si="7"/>
        <v>907.27782608695634</v>
      </c>
      <c r="K180" s="16">
        <f t="shared" si="8"/>
        <v>896.65000000000009</v>
      </c>
      <c r="L180"/>
      <c r="M180"/>
    </row>
    <row r="181" spans="1:13" ht="15.75" customHeight="1" x14ac:dyDescent="0.3">
      <c r="A181" s="35" t="s">
        <v>54</v>
      </c>
      <c r="B181" s="12" t="s">
        <v>66</v>
      </c>
      <c r="C181" s="12" t="s">
        <v>26</v>
      </c>
      <c r="D181" s="12" t="s">
        <v>14</v>
      </c>
      <c r="E181" s="12">
        <v>710.52</v>
      </c>
      <c r="F181" s="12">
        <v>8</v>
      </c>
      <c r="G181" s="12">
        <v>0.1</v>
      </c>
      <c r="H181" s="13">
        <v>45721</v>
      </c>
      <c r="I181" s="37">
        <v>255.79</v>
      </c>
      <c r="J181" s="25">
        <f t="shared" si="7"/>
        <v>902.05272727272711</v>
      </c>
      <c r="K181" s="16">
        <f t="shared" si="8"/>
        <v>864.98</v>
      </c>
      <c r="L181"/>
      <c r="M181"/>
    </row>
    <row r="182" spans="1:13" ht="15.75" customHeight="1" x14ac:dyDescent="0.3">
      <c r="A182" s="35" t="s">
        <v>54</v>
      </c>
      <c r="B182" s="12" t="s">
        <v>61</v>
      </c>
      <c r="C182" s="12" t="s">
        <v>26</v>
      </c>
      <c r="D182" s="12" t="s">
        <v>14</v>
      </c>
      <c r="E182" s="12">
        <v>499.18</v>
      </c>
      <c r="F182" s="12">
        <v>15</v>
      </c>
      <c r="G182" s="12">
        <v>0.2</v>
      </c>
      <c r="H182" s="13">
        <v>45724</v>
      </c>
      <c r="I182" s="37">
        <v>159.74</v>
      </c>
      <c r="J182" s="25">
        <f t="shared" si="7"/>
        <v>892.64142857142861</v>
      </c>
      <c r="K182" s="16">
        <f t="shared" si="8"/>
        <v>896.65000000000009</v>
      </c>
      <c r="L182"/>
      <c r="M182"/>
    </row>
    <row r="183" spans="1:13" ht="15.75" customHeight="1" x14ac:dyDescent="0.3">
      <c r="A183" s="35" t="s">
        <v>39</v>
      </c>
      <c r="B183" s="12" t="s">
        <v>40</v>
      </c>
      <c r="C183" s="12" t="s">
        <v>22</v>
      </c>
      <c r="D183" s="12" t="s">
        <v>14</v>
      </c>
      <c r="E183" s="12">
        <v>1064.19</v>
      </c>
      <c r="F183" s="12">
        <v>18</v>
      </c>
      <c r="G183" s="12">
        <v>0.05</v>
      </c>
      <c r="H183" s="13">
        <v>45725</v>
      </c>
      <c r="I183" s="37">
        <v>404.39</v>
      </c>
      <c r="J183" s="25">
        <f t="shared" si="7"/>
        <v>901.74750000000006</v>
      </c>
      <c r="K183" s="16">
        <f t="shared" si="8"/>
        <v>928.32</v>
      </c>
      <c r="L183"/>
      <c r="M183"/>
    </row>
    <row r="184" spans="1:13" ht="15.75" customHeight="1" x14ac:dyDescent="0.3">
      <c r="A184" s="35" t="s">
        <v>69</v>
      </c>
      <c r="B184" s="12" t="s">
        <v>40</v>
      </c>
      <c r="C184" s="12" t="s">
        <v>20</v>
      </c>
      <c r="D184" s="12" t="s">
        <v>41</v>
      </c>
      <c r="E184" s="12">
        <v>438.76</v>
      </c>
      <c r="F184" s="12">
        <v>18</v>
      </c>
      <c r="G184" s="12">
        <v>0.05</v>
      </c>
      <c r="H184" s="13">
        <v>45726</v>
      </c>
      <c r="I184" s="37">
        <v>187.57</v>
      </c>
      <c r="J184" s="25">
        <f t="shared" si="7"/>
        <v>922.93526315789472</v>
      </c>
      <c r="K184" s="16">
        <f t="shared" si="8"/>
        <v>896.65000000000009</v>
      </c>
      <c r="L184"/>
      <c r="M184"/>
    </row>
    <row r="185" spans="1:13" ht="15.75" customHeight="1" x14ac:dyDescent="0.3">
      <c r="A185" s="35" t="s">
        <v>43</v>
      </c>
      <c r="B185" s="12" t="s">
        <v>57</v>
      </c>
      <c r="C185" s="12" t="s">
        <v>13</v>
      </c>
      <c r="D185" s="12" t="s">
        <v>17</v>
      </c>
      <c r="E185" s="12">
        <v>864.98</v>
      </c>
      <c r="F185" s="12">
        <v>2</v>
      </c>
      <c r="G185" s="12">
        <v>0.05</v>
      </c>
      <c r="H185" s="13">
        <v>45727</v>
      </c>
      <c r="I185" s="37">
        <v>410.87</v>
      </c>
      <c r="J185" s="25">
        <f t="shared" si="7"/>
        <v>915.08777777777789</v>
      </c>
      <c r="K185" s="16">
        <f t="shared" si="8"/>
        <v>928.32</v>
      </c>
      <c r="L185"/>
      <c r="M185"/>
    </row>
    <row r="186" spans="1:13" ht="15.75" customHeight="1" x14ac:dyDescent="0.3">
      <c r="A186" s="35" t="s">
        <v>59</v>
      </c>
      <c r="B186" s="12" t="s">
        <v>57</v>
      </c>
      <c r="C186" s="12" t="s">
        <v>13</v>
      </c>
      <c r="D186" s="12" t="s">
        <v>29</v>
      </c>
      <c r="E186" s="12">
        <v>984.93</v>
      </c>
      <c r="F186" s="12">
        <v>14</v>
      </c>
      <c r="G186" s="12">
        <v>0.2</v>
      </c>
      <c r="H186" s="13">
        <v>45733</v>
      </c>
      <c r="I186" s="37">
        <v>275.77999999999997</v>
      </c>
      <c r="J186" s="25">
        <f t="shared" si="7"/>
        <v>943.10705882352943</v>
      </c>
      <c r="K186" s="16">
        <f t="shared" si="8"/>
        <v>931.29500000000007</v>
      </c>
      <c r="L186"/>
      <c r="M186"/>
    </row>
    <row r="187" spans="1:13" ht="15.75" customHeight="1" x14ac:dyDescent="0.3">
      <c r="A187" s="35" t="s">
        <v>27</v>
      </c>
      <c r="B187" s="12" t="s">
        <v>57</v>
      </c>
      <c r="C187" s="12" t="s">
        <v>13</v>
      </c>
      <c r="D187" s="12" t="s">
        <v>17</v>
      </c>
      <c r="E187" s="12">
        <v>1493.49</v>
      </c>
      <c r="F187" s="12">
        <v>18</v>
      </c>
      <c r="G187" s="12">
        <v>0</v>
      </c>
      <c r="H187" s="13">
        <v>45734</v>
      </c>
      <c r="I187" s="37">
        <v>746.74</v>
      </c>
      <c r="J187" s="25">
        <f t="shared" si="7"/>
        <v>947.99</v>
      </c>
      <c r="K187" s="16">
        <f t="shared" si="8"/>
        <v>928.32</v>
      </c>
      <c r="L187"/>
      <c r="M187"/>
    </row>
    <row r="188" spans="1:13" ht="15.75" customHeight="1" x14ac:dyDescent="0.3">
      <c r="A188" s="35" t="s">
        <v>34</v>
      </c>
      <c r="B188" s="12" t="s">
        <v>55</v>
      </c>
      <c r="C188" s="12" t="s">
        <v>22</v>
      </c>
      <c r="D188" s="12" t="s">
        <v>17</v>
      </c>
      <c r="E188" s="12">
        <v>689.43</v>
      </c>
      <c r="F188" s="12">
        <v>9</v>
      </c>
      <c r="G188" s="12">
        <v>0.1</v>
      </c>
      <c r="H188" s="13">
        <v>45736</v>
      </c>
      <c r="I188" s="37">
        <v>310.24</v>
      </c>
      <c r="J188" s="25">
        <f t="shared" si="7"/>
        <v>945.52733333333333</v>
      </c>
      <c r="K188" s="16">
        <f t="shared" si="8"/>
        <v>845.23</v>
      </c>
      <c r="L188"/>
      <c r="M188"/>
    </row>
    <row r="189" spans="1:13" ht="15.75" customHeight="1" x14ac:dyDescent="0.3">
      <c r="A189" s="35" t="s">
        <v>42</v>
      </c>
      <c r="B189" s="12" t="s">
        <v>61</v>
      </c>
      <c r="C189" s="12" t="s">
        <v>22</v>
      </c>
      <c r="D189" s="12" t="s">
        <v>17</v>
      </c>
      <c r="E189" s="12">
        <v>682.24</v>
      </c>
      <c r="F189" s="12">
        <v>1</v>
      </c>
      <c r="G189" s="12">
        <v>0</v>
      </c>
      <c r="H189" s="13">
        <v>45738</v>
      </c>
      <c r="I189" s="37">
        <v>341.12</v>
      </c>
      <c r="J189" s="25">
        <f t="shared" si="7"/>
        <v>906.38714285714286</v>
      </c>
      <c r="K189" s="16">
        <f t="shared" si="8"/>
        <v>928.32</v>
      </c>
      <c r="L189"/>
      <c r="M189"/>
    </row>
    <row r="190" spans="1:13" ht="15.75" customHeight="1" x14ac:dyDescent="0.3">
      <c r="A190" s="35" t="s">
        <v>43</v>
      </c>
      <c r="B190" s="12" t="s">
        <v>28</v>
      </c>
      <c r="C190" s="12" t="s">
        <v>26</v>
      </c>
      <c r="D190" s="12" t="s">
        <v>23</v>
      </c>
      <c r="E190" s="12">
        <v>458.54</v>
      </c>
      <c r="F190" s="12">
        <v>15</v>
      </c>
      <c r="G190" s="12">
        <v>0.2</v>
      </c>
      <c r="H190" s="13">
        <v>45741</v>
      </c>
      <c r="I190" s="37">
        <v>91.71</v>
      </c>
      <c r="J190" s="25">
        <f t="shared" si="7"/>
        <v>923.07615384615383</v>
      </c>
      <c r="K190" s="16">
        <f t="shared" si="8"/>
        <v>931.29500000000007</v>
      </c>
      <c r="L190"/>
      <c r="M190"/>
    </row>
    <row r="191" spans="1:13" ht="15.75" customHeight="1" x14ac:dyDescent="0.3">
      <c r="A191" s="35" t="s">
        <v>34</v>
      </c>
      <c r="B191" s="12" t="s">
        <v>28</v>
      </c>
      <c r="C191" s="12" t="s">
        <v>22</v>
      </c>
      <c r="D191" s="12" t="s">
        <v>29</v>
      </c>
      <c r="E191" s="12">
        <v>1184.25</v>
      </c>
      <c r="F191" s="12">
        <v>11</v>
      </c>
      <c r="G191" s="12">
        <v>0.2</v>
      </c>
      <c r="H191" s="13">
        <v>45742</v>
      </c>
      <c r="I191" s="37">
        <v>331.59</v>
      </c>
      <c r="J191" s="25">
        <f t="shared" si="7"/>
        <v>943.14583333333337</v>
      </c>
      <c r="K191" s="16">
        <f t="shared" si="8"/>
        <v>934.27</v>
      </c>
      <c r="L191"/>
      <c r="M191"/>
    </row>
    <row r="192" spans="1:13" ht="15.75" customHeight="1" x14ac:dyDescent="0.3">
      <c r="A192" s="35" t="s">
        <v>27</v>
      </c>
      <c r="B192" s="12" t="s">
        <v>12</v>
      </c>
      <c r="C192" s="12" t="s">
        <v>22</v>
      </c>
      <c r="D192" s="12" t="s">
        <v>17</v>
      </c>
      <c r="E192" s="12">
        <v>762.14</v>
      </c>
      <c r="F192" s="12">
        <v>9</v>
      </c>
      <c r="G192" s="12">
        <v>0</v>
      </c>
      <c r="H192" s="13">
        <v>45743</v>
      </c>
      <c r="I192" s="37">
        <v>381.07</v>
      </c>
      <c r="J192" s="25">
        <f t="shared" si="7"/>
        <v>987.20090909090914</v>
      </c>
      <c r="K192" s="16">
        <f t="shared" si="8"/>
        <v>931.29500000000007</v>
      </c>
      <c r="L192"/>
      <c r="M192"/>
    </row>
    <row r="193" spans="1:13" ht="15.75" customHeight="1" x14ac:dyDescent="0.3">
      <c r="A193" s="35" t="s">
        <v>24</v>
      </c>
      <c r="B193" s="12" t="s">
        <v>55</v>
      </c>
      <c r="C193" s="12" t="s">
        <v>26</v>
      </c>
      <c r="D193" s="12" t="s">
        <v>14</v>
      </c>
      <c r="E193" s="12">
        <v>750.71</v>
      </c>
      <c r="F193" s="12">
        <v>10</v>
      </c>
      <c r="G193" s="12">
        <v>0.15</v>
      </c>
      <c r="H193" s="13">
        <v>45743</v>
      </c>
      <c r="I193" s="37">
        <v>255.24</v>
      </c>
      <c r="J193" s="25">
        <f t="shared" si="7"/>
        <v>967.49600000000009</v>
      </c>
      <c r="K193" s="16">
        <f t="shared" si="8"/>
        <v>934.27</v>
      </c>
      <c r="L193"/>
      <c r="M193"/>
    </row>
    <row r="194" spans="1:13" ht="15.75" customHeight="1" x14ac:dyDescent="0.3">
      <c r="A194" s="35" t="s">
        <v>77</v>
      </c>
      <c r="B194" s="12" t="s">
        <v>73</v>
      </c>
      <c r="C194" s="12" t="s">
        <v>36</v>
      </c>
      <c r="D194" s="12" t="s">
        <v>17</v>
      </c>
      <c r="E194" s="12">
        <v>1456.94</v>
      </c>
      <c r="F194" s="12">
        <v>14</v>
      </c>
      <c r="G194" s="12">
        <v>0.05</v>
      </c>
      <c r="H194" s="13">
        <v>45745</v>
      </c>
      <c r="I194" s="37">
        <v>692.05</v>
      </c>
      <c r="J194" s="25">
        <f t="shared" si="7"/>
        <v>990.31333333333328</v>
      </c>
      <c r="K194" s="16">
        <f t="shared" si="8"/>
        <v>965.94</v>
      </c>
      <c r="L194"/>
      <c r="M194"/>
    </row>
    <row r="195" spans="1:13" ht="15.75" customHeight="1" x14ac:dyDescent="0.3">
      <c r="A195" s="35" t="s">
        <v>46</v>
      </c>
      <c r="B195" s="12" t="s">
        <v>63</v>
      </c>
      <c r="C195" s="12" t="s">
        <v>20</v>
      </c>
      <c r="D195" s="12" t="s">
        <v>29</v>
      </c>
      <c r="E195" s="12">
        <v>1093.3800000000001</v>
      </c>
      <c r="F195" s="12">
        <v>17</v>
      </c>
      <c r="G195" s="12">
        <v>0.1</v>
      </c>
      <c r="H195" s="13">
        <v>45745</v>
      </c>
      <c r="I195" s="37">
        <v>344.41</v>
      </c>
      <c r="J195" s="25">
        <f t="shared" ref="J195:J201" si="9">AVERAGE(E194:E393)</f>
        <v>1020.26375</v>
      </c>
      <c r="K195" s="16">
        <f t="shared" ref="K195:K201" si="10">MEDIAN(E195:E393)</f>
        <v>934.27</v>
      </c>
      <c r="L195"/>
      <c r="M195"/>
    </row>
    <row r="196" spans="1:13" ht="15.75" customHeight="1" x14ac:dyDescent="0.3">
      <c r="A196" s="35" t="s">
        <v>39</v>
      </c>
      <c r="B196" s="12" t="s">
        <v>45</v>
      </c>
      <c r="C196" s="12" t="s">
        <v>13</v>
      </c>
      <c r="D196" s="12" t="s">
        <v>17</v>
      </c>
      <c r="E196" s="12">
        <v>934.27</v>
      </c>
      <c r="F196" s="12">
        <v>8</v>
      </c>
      <c r="G196" s="12">
        <v>0.15</v>
      </c>
      <c r="H196" s="13">
        <v>45746</v>
      </c>
      <c r="I196" s="37">
        <v>397.06</v>
      </c>
      <c r="J196" s="25">
        <f t="shared" si="9"/>
        <v>957.8814285714285</v>
      </c>
      <c r="K196" s="16">
        <f t="shared" si="10"/>
        <v>931.29500000000007</v>
      </c>
      <c r="L196"/>
      <c r="M196"/>
    </row>
    <row r="197" spans="1:13" ht="15.75" customHeight="1" x14ac:dyDescent="0.3">
      <c r="A197" s="35" t="s">
        <v>72</v>
      </c>
      <c r="B197" s="12" t="s">
        <v>38</v>
      </c>
      <c r="C197" s="12" t="s">
        <v>36</v>
      </c>
      <c r="D197" s="12" t="s">
        <v>17</v>
      </c>
      <c r="E197" s="12">
        <v>1465.35</v>
      </c>
      <c r="F197" s="12">
        <v>8</v>
      </c>
      <c r="G197" s="12">
        <v>0.2</v>
      </c>
      <c r="H197" s="13">
        <v>45746</v>
      </c>
      <c r="I197" s="37">
        <v>586.14</v>
      </c>
      <c r="J197" s="25">
        <f t="shared" si="9"/>
        <v>935.29833333333329</v>
      </c>
      <c r="K197" s="16">
        <f t="shared" si="10"/>
        <v>928.32</v>
      </c>
      <c r="L197"/>
      <c r="M197"/>
    </row>
    <row r="198" spans="1:13" ht="15.75" customHeight="1" x14ac:dyDescent="0.3">
      <c r="A198" s="35" t="s">
        <v>54</v>
      </c>
      <c r="B198" s="12" t="s">
        <v>16</v>
      </c>
      <c r="C198" s="12" t="s">
        <v>22</v>
      </c>
      <c r="D198" s="12" t="s">
        <v>41</v>
      </c>
      <c r="E198" s="12">
        <v>740.8</v>
      </c>
      <c r="F198" s="12">
        <v>3</v>
      </c>
      <c r="G198" s="12">
        <v>0</v>
      </c>
      <c r="H198" s="13">
        <v>45749</v>
      </c>
      <c r="I198" s="37">
        <v>333.36</v>
      </c>
      <c r="J198" s="25">
        <f t="shared" si="9"/>
        <v>935.50399999999991</v>
      </c>
      <c r="K198" s="16">
        <f t="shared" si="10"/>
        <v>834.56</v>
      </c>
      <c r="L198"/>
      <c r="M198"/>
    </row>
    <row r="199" spans="1:13" ht="15.75" customHeight="1" x14ac:dyDescent="0.3">
      <c r="A199" s="35" t="s">
        <v>60</v>
      </c>
      <c r="B199" s="12" t="s">
        <v>45</v>
      </c>
      <c r="C199" s="12" t="s">
        <v>13</v>
      </c>
      <c r="D199" s="12" t="s">
        <v>41</v>
      </c>
      <c r="E199" s="12">
        <v>545.44000000000005</v>
      </c>
      <c r="F199" s="12">
        <v>17</v>
      </c>
      <c r="G199" s="12">
        <v>0</v>
      </c>
      <c r="H199" s="13">
        <v>45752</v>
      </c>
      <c r="I199" s="37">
        <v>245.45</v>
      </c>
      <c r="J199" s="25">
        <f t="shared" si="9"/>
        <v>803.04250000000002</v>
      </c>
      <c r="K199" s="16">
        <f t="shared" si="10"/>
        <v>928.32</v>
      </c>
      <c r="L199"/>
      <c r="M199"/>
    </row>
    <row r="200" spans="1:13" ht="15.75" customHeight="1" x14ac:dyDescent="0.3">
      <c r="A200" s="35" t="s">
        <v>37</v>
      </c>
      <c r="B200" s="12" t="s">
        <v>38</v>
      </c>
      <c r="C200" s="12" t="s">
        <v>20</v>
      </c>
      <c r="D200" s="12" t="s">
        <v>14</v>
      </c>
      <c r="E200" s="12">
        <v>997.61</v>
      </c>
      <c r="F200" s="12">
        <v>8</v>
      </c>
      <c r="G200" s="12">
        <v>0.05</v>
      </c>
      <c r="H200" s="13">
        <v>45752</v>
      </c>
      <c r="I200" s="37">
        <v>379.09</v>
      </c>
      <c r="J200" s="25">
        <f t="shared" si="9"/>
        <v>823.79000000000008</v>
      </c>
      <c r="K200" s="16">
        <f t="shared" si="10"/>
        <v>962.96500000000003</v>
      </c>
      <c r="L200"/>
      <c r="M200"/>
    </row>
    <row r="201" spans="1:13" ht="15.75" customHeight="1" x14ac:dyDescent="0.3">
      <c r="A201" s="41" t="s">
        <v>62</v>
      </c>
      <c r="B201" s="42" t="s">
        <v>38</v>
      </c>
      <c r="C201" s="42" t="s">
        <v>22</v>
      </c>
      <c r="D201" s="42" t="s">
        <v>17</v>
      </c>
      <c r="E201" s="42">
        <v>928.32</v>
      </c>
      <c r="F201" s="42">
        <v>2</v>
      </c>
      <c r="G201" s="42">
        <v>0.05</v>
      </c>
      <c r="H201" s="43">
        <v>45754</v>
      </c>
      <c r="I201" s="44">
        <v>440.95</v>
      </c>
      <c r="J201" s="25">
        <f t="shared" si="9"/>
        <v>962.96500000000003</v>
      </c>
      <c r="K201" s="16">
        <f t="shared" si="10"/>
        <v>928.32</v>
      </c>
      <c r="L201"/>
      <c r="M201"/>
    </row>
    <row r="202" spans="1:13" ht="15.75" customHeight="1" x14ac:dyDescent="0.3">
      <c r="A202" s="14"/>
      <c r="B202" s="14"/>
      <c r="C202" s="14"/>
      <c r="D202" s="14"/>
      <c r="E202" s="14"/>
      <c r="F202" s="14"/>
      <c r="G202" s="14"/>
      <c r="H202" s="14"/>
      <c r="I202" s="14"/>
      <c r="K202"/>
      <c r="L202"/>
      <c r="M202"/>
    </row>
    <row r="203" spans="1:13" ht="15.75" customHeight="1" x14ac:dyDescent="0.3">
      <c r="A203" s="14"/>
      <c r="B203" s="14"/>
      <c r="C203" s="14"/>
      <c r="D203" s="14"/>
      <c r="E203" s="14"/>
      <c r="F203" s="14"/>
      <c r="G203" s="14"/>
      <c r="H203" s="14"/>
      <c r="I203" s="14"/>
      <c r="K203"/>
      <c r="L203"/>
      <c r="M203"/>
    </row>
    <row r="204" spans="1:13" ht="15.75" customHeight="1" x14ac:dyDescent="0.3">
      <c r="K204"/>
      <c r="L204"/>
      <c r="M204"/>
    </row>
    <row r="205" spans="1:13" ht="15.75" customHeight="1" x14ac:dyDescent="0.3">
      <c r="K205"/>
      <c r="L205"/>
      <c r="M205"/>
    </row>
    <row r="206" spans="1:13" ht="15.75" customHeight="1" x14ac:dyDescent="0.3">
      <c r="K206"/>
      <c r="L206"/>
      <c r="M206"/>
    </row>
    <row r="207" spans="1:13" ht="15.75" customHeight="1" x14ac:dyDescent="0.3">
      <c r="K207"/>
      <c r="L207"/>
      <c r="M207"/>
    </row>
    <row r="208" spans="1:13" ht="15.75" customHeight="1" x14ac:dyDescent="0.3">
      <c r="K208"/>
      <c r="L208"/>
      <c r="M208"/>
    </row>
    <row r="209" spans="11:13" ht="15.75" customHeight="1" x14ac:dyDescent="0.3">
      <c r="K209"/>
      <c r="L209"/>
      <c r="M209"/>
    </row>
    <row r="210" spans="11:13" ht="15.75" customHeight="1" x14ac:dyDescent="0.3">
      <c r="K210"/>
      <c r="L210"/>
      <c r="M210"/>
    </row>
    <row r="211" spans="11:13" ht="15.75" customHeight="1" x14ac:dyDescent="0.3">
      <c r="K211"/>
      <c r="L211"/>
      <c r="M211"/>
    </row>
    <row r="212" spans="11:13" ht="15.75" customHeight="1" x14ac:dyDescent="0.3">
      <c r="K212"/>
      <c r="L212"/>
      <c r="M212"/>
    </row>
    <row r="213" spans="11:13" ht="15.75" customHeight="1" x14ac:dyDescent="0.3">
      <c r="K213"/>
      <c r="L213"/>
      <c r="M213"/>
    </row>
    <row r="214" spans="11:13" ht="15.75" customHeight="1" x14ac:dyDescent="0.3">
      <c r="K214"/>
      <c r="L214"/>
      <c r="M214"/>
    </row>
    <row r="215" spans="11:13" ht="15.75" customHeight="1" x14ac:dyDescent="0.3">
      <c r="K215"/>
      <c r="L215"/>
      <c r="M215"/>
    </row>
    <row r="216" spans="11:13" ht="15.75" customHeight="1" x14ac:dyDescent="0.3">
      <c r="K216"/>
      <c r="L216"/>
      <c r="M216"/>
    </row>
    <row r="217" spans="11:13" ht="15.75" customHeight="1" x14ac:dyDescent="0.3">
      <c r="K217"/>
      <c r="L217"/>
      <c r="M217"/>
    </row>
    <row r="218" spans="11:13" ht="15.75" customHeight="1" x14ac:dyDescent="0.3">
      <c r="K218"/>
      <c r="L218"/>
      <c r="M218"/>
    </row>
    <row r="219" spans="11:13" ht="15.75" customHeight="1" x14ac:dyDescent="0.3">
      <c r="K219"/>
      <c r="L219"/>
      <c r="M219"/>
    </row>
    <row r="220" spans="11:13" ht="15.75" customHeight="1" x14ac:dyDescent="0.3">
      <c r="K220"/>
      <c r="L220"/>
      <c r="M220"/>
    </row>
    <row r="221" spans="11:13" ht="15.75" customHeight="1" x14ac:dyDescent="0.3">
      <c r="K221"/>
      <c r="L221"/>
      <c r="M221"/>
    </row>
    <row r="222" spans="11:13" ht="15.75" customHeight="1" x14ac:dyDescent="0.3">
      <c r="K222"/>
      <c r="L222"/>
      <c r="M222"/>
    </row>
    <row r="223" spans="11:13" ht="15.75" customHeight="1" x14ac:dyDescent="0.3">
      <c r="K223"/>
      <c r="L223"/>
      <c r="M223"/>
    </row>
    <row r="224" spans="11:13" ht="15.75" customHeight="1" x14ac:dyDescent="0.3">
      <c r="K224"/>
      <c r="L224"/>
      <c r="M224"/>
    </row>
    <row r="225" spans="11:13" ht="15.75" customHeight="1" x14ac:dyDescent="0.3">
      <c r="K225"/>
      <c r="L225"/>
      <c r="M225"/>
    </row>
    <row r="226" spans="11:13" ht="15.75" customHeight="1" x14ac:dyDescent="0.3">
      <c r="K226"/>
      <c r="L226"/>
      <c r="M226"/>
    </row>
    <row r="227" spans="11:13" ht="15.75" customHeight="1" x14ac:dyDescent="0.3">
      <c r="K227"/>
      <c r="L227"/>
      <c r="M227"/>
    </row>
    <row r="228" spans="11:13" ht="15.75" customHeight="1" x14ac:dyDescent="0.3">
      <c r="K228"/>
      <c r="L228"/>
      <c r="M228"/>
    </row>
    <row r="229" spans="11:13" ht="15.75" customHeight="1" x14ac:dyDescent="0.3">
      <c r="K229"/>
      <c r="L229"/>
      <c r="M229"/>
    </row>
    <row r="230" spans="11:13" ht="15.75" customHeight="1" x14ac:dyDescent="0.3">
      <c r="K230"/>
      <c r="L230"/>
      <c r="M230"/>
    </row>
    <row r="231" spans="11:13" ht="15.75" customHeight="1" x14ac:dyDescent="0.3">
      <c r="K231"/>
      <c r="L231"/>
      <c r="M231"/>
    </row>
    <row r="232" spans="11:13" ht="15.75" customHeight="1" x14ac:dyDescent="0.3">
      <c r="K232"/>
      <c r="L232"/>
      <c r="M232"/>
    </row>
    <row r="233" spans="11:13" ht="15.75" customHeight="1" x14ac:dyDescent="0.3">
      <c r="K233"/>
      <c r="L233"/>
      <c r="M233"/>
    </row>
    <row r="234" spans="11:13" ht="15.75" customHeight="1" x14ac:dyDescent="0.3">
      <c r="K234"/>
      <c r="L234"/>
      <c r="M234"/>
    </row>
    <row r="235" spans="11:13" ht="15.75" customHeight="1" x14ac:dyDescent="0.3">
      <c r="K235"/>
      <c r="L235"/>
      <c r="M235"/>
    </row>
    <row r="236" spans="11:13" ht="15.75" customHeight="1" x14ac:dyDescent="0.3">
      <c r="K236"/>
      <c r="L236"/>
      <c r="M236"/>
    </row>
    <row r="237" spans="11:13" ht="15.75" customHeight="1" x14ac:dyDescent="0.3">
      <c r="K237"/>
      <c r="L237"/>
      <c r="M237"/>
    </row>
    <row r="238" spans="11:13" ht="15.75" customHeight="1" x14ac:dyDescent="0.3">
      <c r="K238"/>
      <c r="L238"/>
      <c r="M238"/>
    </row>
    <row r="239" spans="11:13" ht="15.75" customHeight="1" x14ac:dyDescent="0.3">
      <c r="K239"/>
      <c r="L239"/>
      <c r="M239"/>
    </row>
    <row r="240" spans="11:13" ht="15.75" customHeight="1" x14ac:dyDescent="0.3">
      <c r="K240"/>
      <c r="L240"/>
      <c r="M240"/>
    </row>
    <row r="241" spans="11:13" ht="15.75" customHeight="1" x14ac:dyDescent="0.3">
      <c r="K241"/>
      <c r="L241"/>
      <c r="M241"/>
    </row>
    <row r="242" spans="11:13" ht="15.75" customHeight="1" x14ac:dyDescent="0.3">
      <c r="K242"/>
      <c r="L242"/>
      <c r="M242"/>
    </row>
    <row r="243" spans="11:13" ht="15.75" customHeight="1" x14ac:dyDescent="0.3">
      <c r="K243"/>
      <c r="L243"/>
      <c r="M243"/>
    </row>
    <row r="244" spans="11:13" ht="15.75" customHeight="1" x14ac:dyDescent="0.3">
      <c r="K244"/>
      <c r="L244"/>
      <c r="M244"/>
    </row>
    <row r="245" spans="11:13" ht="15.75" customHeight="1" x14ac:dyDescent="0.3">
      <c r="K245"/>
      <c r="L245"/>
      <c r="M245"/>
    </row>
    <row r="246" spans="11:13" ht="15.75" customHeight="1" x14ac:dyDescent="0.3">
      <c r="K246"/>
      <c r="L246"/>
      <c r="M246"/>
    </row>
    <row r="247" spans="11:13" ht="15.75" customHeight="1" x14ac:dyDescent="0.3">
      <c r="K247"/>
      <c r="L247"/>
      <c r="M247"/>
    </row>
    <row r="248" spans="11:13" ht="15.75" customHeight="1" x14ac:dyDescent="0.3">
      <c r="K248"/>
      <c r="L248"/>
      <c r="M248"/>
    </row>
    <row r="249" spans="11:13" ht="15.75" customHeight="1" x14ac:dyDescent="0.3">
      <c r="K249"/>
      <c r="L249"/>
      <c r="M249"/>
    </row>
    <row r="250" spans="11:13" ht="15.75" customHeight="1" x14ac:dyDescent="0.3">
      <c r="K250"/>
      <c r="L250"/>
      <c r="M250"/>
    </row>
    <row r="251" spans="11:13" ht="15.75" customHeight="1" x14ac:dyDescent="0.3">
      <c r="K251"/>
      <c r="L251"/>
      <c r="M251"/>
    </row>
    <row r="252" spans="11:13" ht="15.75" customHeight="1" x14ac:dyDescent="0.3">
      <c r="K252"/>
      <c r="L252"/>
      <c r="M252"/>
    </row>
    <row r="253" spans="11:13" ht="15.75" customHeight="1" x14ac:dyDescent="0.3">
      <c r="K253"/>
      <c r="L253"/>
      <c r="M253"/>
    </row>
    <row r="254" spans="11:13" ht="15.75" customHeight="1" x14ac:dyDescent="0.3">
      <c r="K254"/>
      <c r="L254"/>
      <c r="M254"/>
    </row>
    <row r="255" spans="11:13" ht="15.75" customHeight="1" x14ac:dyDescent="0.3">
      <c r="K255"/>
      <c r="L255"/>
      <c r="M255"/>
    </row>
    <row r="256" spans="11:13" ht="15.75" customHeight="1" x14ac:dyDescent="0.3">
      <c r="K256"/>
      <c r="L256"/>
      <c r="M256"/>
    </row>
    <row r="257" spans="11:13" ht="15.75" customHeight="1" x14ac:dyDescent="0.3">
      <c r="K257"/>
      <c r="L257"/>
      <c r="M257"/>
    </row>
    <row r="258" spans="11:13" ht="15.75" customHeight="1" x14ac:dyDescent="0.3">
      <c r="K258"/>
      <c r="L258"/>
      <c r="M258"/>
    </row>
    <row r="259" spans="11:13" ht="15.75" customHeight="1" x14ac:dyDescent="0.3">
      <c r="K259"/>
      <c r="L259"/>
      <c r="M259"/>
    </row>
    <row r="260" spans="11:13" ht="15.75" customHeight="1" x14ac:dyDescent="0.3">
      <c r="K260"/>
      <c r="L260"/>
      <c r="M260"/>
    </row>
    <row r="261" spans="11:13" ht="15.75" customHeight="1" x14ac:dyDescent="0.3">
      <c r="K261"/>
      <c r="L261"/>
      <c r="M261"/>
    </row>
    <row r="262" spans="11:13" ht="15.75" customHeight="1" x14ac:dyDescent="0.3">
      <c r="K262"/>
      <c r="L262"/>
      <c r="M262"/>
    </row>
    <row r="263" spans="11:13" ht="15.75" customHeight="1" x14ac:dyDescent="0.3">
      <c r="K263"/>
      <c r="L263"/>
      <c r="M263"/>
    </row>
    <row r="264" spans="11:13" ht="15.75" customHeight="1" x14ac:dyDescent="0.3">
      <c r="K264"/>
      <c r="L264"/>
      <c r="M264"/>
    </row>
    <row r="265" spans="11:13" ht="15.75" customHeight="1" x14ac:dyDescent="0.3">
      <c r="K265"/>
      <c r="L265"/>
      <c r="M265"/>
    </row>
    <row r="266" spans="11:13" ht="15.75" customHeight="1" x14ac:dyDescent="0.3">
      <c r="K266"/>
      <c r="L266"/>
      <c r="M266"/>
    </row>
    <row r="267" spans="11:13" ht="15.75" customHeight="1" x14ac:dyDescent="0.3">
      <c r="K267"/>
      <c r="L267"/>
      <c r="M267"/>
    </row>
    <row r="268" spans="11:13" ht="15.75" customHeight="1" x14ac:dyDescent="0.3">
      <c r="K268"/>
      <c r="L268"/>
      <c r="M268"/>
    </row>
    <row r="269" spans="11:13" ht="15.75" customHeight="1" x14ac:dyDescent="0.3">
      <c r="K269"/>
      <c r="L269"/>
      <c r="M269"/>
    </row>
    <row r="270" spans="11:13" ht="15.75" customHeight="1" x14ac:dyDescent="0.3">
      <c r="K270"/>
      <c r="L270"/>
      <c r="M270"/>
    </row>
    <row r="271" spans="11:13" ht="15.75" customHeight="1" x14ac:dyDescent="0.3">
      <c r="K271"/>
      <c r="L271"/>
      <c r="M271"/>
    </row>
    <row r="272" spans="11:13" ht="15.75" customHeight="1" x14ac:dyDescent="0.3">
      <c r="K272"/>
      <c r="L272"/>
      <c r="M272"/>
    </row>
    <row r="273" spans="11:13" ht="15.75" customHeight="1" x14ac:dyDescent="0.3">
      <c r="K273"/>
      <c r="L273"/>
      <c r="M273"/>
    </row>
    <row r="274" spans="11:13" ht="15.75" customHeight="1" x14ac:dyDescent="0.3">
      <c r="K274"/>
      <c r="L274"/>
      <c r="M274"/>
    </row>
    <row r="275" spans="11:13" ht="15.75" customHeight="1" x14ac:dyDescent="0.3">
      <c r="K275"/>
      <c r="L275"/>
      <c r="M275"/>
    </row>
    <row r="276" spans="11:13" ht="15.75" customHeight="1" x14ac:dyDescent="0.3">
      <c r="K276"/>
      <c r="L276"/>
      <c r="M276"/>
    </row>
    <row r="277" spans="11:13" ht="15.75" customHeight="1" x14ac:dyDescent="0.3">
      <c r="K277"/>
      <c r="L277"/>
      <c r="M277"/>
    </row>
    <row r="278" spans="11:13" ht="15.75" customHeight="1" x14ac:dyDescent="0.3">
      <c r="K278"/>
      <c r="L278"/>
      <c r="M278"/>
    </row>
    <row r="279" spans="11:13" ht="15.75" customHeight="1" x14ac:dyDescent="0.3">
      <c r="K279"/>
      <c r="L279"/>
      <c r="M279"/>
    </row>
    <row r="280" spans="11:13" ht="15.75" customHeight="1" x14ac:dyDescent="0.3">
      <c r="K280"/>
      <c r="L280"/>
      <c r="M280"/>
    </row>
    <row r="281" spans="11:13" ht="15.75" customHeight="1" x14ac:dyDescent="0.3">
      <c r="K281"/>
      <c r="L281"/>
      <c r="M281"/>
    </row>
    <row r="282" spans="11:13" ht="15.75" customHeight="1" x14ac:dyDescent="0.3">
      <c r="K282"/>
      <c r="L282"/>
      <c r="M282"/>
    </row>
    <row r="283" spans="11:13" ht="15.75" customHeight="1" x14ac:dyDescent="0.3">
      <c r="K283"/>
      <c r="L283"/>
      <c r="M283"/>
    </row>
    <row r="284" spans="11:13" ht="15.75" customHeight="1" x14ac:dyDescent="0.3">
      <c r="K284"/>
      <c r="L284"/>
      <c r="M284"/>
    </row>
    <row r="285" spans="11:13" ht="15.75" customHeight="1" x14ac:dyDescent="0.3">
      <c r="K285"/>
      <c r="L285"/>
      <c r="M285"/>
    </row>
    <row r="286" spans="11:13" ht="15.75" customHeight="1" x14ac:dyDescent="0.3">
      <c r="K286"/>
      <c r="L286"/>
      <c r="M286"/>
    </row>
    <row r="287" spans="11:13" ht="15.75" customHeight="1" x14ac:dyDescent="0.3">
      <c r="K287"/>
      <c r="L287"/>
      <c r="M287"/>
    </row>
    <row r="288" spans="11:13" ht="15.75" customHeight="1" x14ac:dyDescent="0.3">
      <c r="K288"/>
      <c r="L288"/>
      <c r="M288"/>
    </row>
    <row r="289" spans="11:13" ht="15.75" customHeight="1" x14ac:dyDescent="0.3">
      <c r="K289"/>
      <c r="L289"/>
      <c r="M289"/>
    </row>
    <row r="290" spans="11:13" ht="15.75" customHeight="1" x14ac:dyDescent="0.3">
      <c r="K290"/>
      <c r="L290"/>
      <c r="M290"/>
    </row>
    <row r="291" spans="11:13" ht="15.75" customHeight="1" x14ac:dyDescent="0.3">
      <c r="K291"/>
      <c r="L291"/>
      <c r="M291"/>
    </row>
    <row r="292" spans="11:13" ht="15.75" customHeight="1" x14ac:dyDescent="0.3">
      <c r="K292"/>
      <c r="L292"/>
      <c r="M292"/>
    </row>
    <row r="293" spans="11:13" ht="15.75" customHeight="1" x14ac:dyDescent="0.3">
      <c r="K293"/>
      <c r="L293"/>
      <c r="M293"/>
    </row>
    <row r="294" spans="11:13" ht="15.75" customHeight="1" x14ac:dyDescent="0.3">
      <c r="K294"/>
      <c r="L294"/>
      <c r="M294"/>
    </row>
    <row r="295" spans="11:13" ht="15.75" customHeight="1" x14ac:dyDescent="0.3">
      <c r="K295"/>
      <c r="L295"/>
      <c r="M295"/>
    </row>
    <row r="296" spans="11:13" ht="15.75" customHeight="1" x14ac:dyDescent="0.3">
      <c r="K296"/>
      <c r="L296"/>
      <c r="M296"/>
    </row>
    <row r="297" spans="11:13" ht="15.75" customHeight="1" x14ac:dyDescent="0.3">
      <c r="K297"/>
      <c r="L297"/>
      <c r="M297"/>
    </row>
    <row r="298" spans="11:13" ht="15.75" customHeight="1" x14ac:dyDescent="0.3">
      <c r="K298"/>
      <c r="L298"/>
      <c r="M298"/>
    </row>
    <row r="299" spans="11:13" ht="15.75" customHeight="1" x14ac:dyDescent="0.3">
      <c r="K299"/>
      <c r="L299"/>
      <c r="M299"/>
    </row>
    <row r="300" spans="11:13" ht="15.75" customHeight="1" x14ac:dyDescent="0.3">
      <c r="K300"/>
      <c r="L300"/>
      <c r="M300"/>
    </row>
    <row r="301" spans="11:13" ht="15.75" customHeight="1" x14ac:dyDescent="0.3">
      <c r="K301"/>
      <c r="L301"/>
      <c r="M301"/>
    </row>
    <row r="302" spans="11:13" ht="15.75" customHeight="1" x14ac:dyDescent="0.3">
      <c r="K302"/>
      <c r="L302"/>
      <c r="M302"/>
    </row>
    <row r="303" spans="11:13" ht="15.75" customHeight="1" x14ac:dyDescent="0.3">
      <c r="K303"/>
      <c r="L303"/>
      <c r="M303"/>
    </row>
    <row r="304" spans="11:13" ht="15.75" customHeight="1" x14ac:dyDescent="0.3">
      <c r="K304"/>
      <c r="L304"/>
      <c r="M304"/>
    </row>
    <row r="305" spans="11:13" ht="15.75" customHeight="1" x14ac:dyDescent="0.3">
      <c r="K305"/>
      <c r="L305"/>
      <c r="M305"/>
    </row>
    <row r="306" spans="11:13" ht="15.75" customHeight="1" x14ac:dyDescent="0.3">
      <c r="K306"/>
      <c r="L306"/>
      <c r="M306"/>
    </row>
    <row r="307" spans="11:13" ht="15.75" customHeight="1" x14ac:dyDescent="0.3">
      <c r="K307"/>
      <c r="L307"/>
      <c r="M307"/>
    </row>
    <row r="308" spans="11:13" ht="15.75" customHeight="1" x14ac:dyDescent="0.3">
      <c r="K308"/>
      <c r="L308"/>
      <c r="M308"/>
    </row>
    <row r="309" spans="11:13" ht="15.75" customHeight="1" x14ac:dyDescent="0.3">
      <c r="K309"/>
      <c r="L309"/>
      <c r="M309"/>
    </row>
    <row r="310" spans="11:13" ht="15.75" customHeight="1" x14ac:dyDescent="0.3">
      <c r="K310"/>
      <c r="L310"/>
      <c r="M310"/>
    </row>
    <row r="311" spans="11:13" ht="15.75" customHeight="1" x14ac:dyDescent="0.3">
      <c r="K311"/>
      <c r="L311"/>
      <c r="M311"/>
    </row>
    <row r="312" spans="11:13" ht="15.75" customHeight="1" x14ac:dyDescent="0.3">
      <c r="K312"/>
      <c r="L312"/>
      <c r="M312"/>
    </row>
    <row r="313" spans="11:13" ht="15.75" customHeight="1" x14ac:dyDescent="0.3">
      <c r="K313"/>
      <c r="L313"/>
      <c r="M313"/>
    </row>
    <row r="314" spans="11:13" ht="15.75" customHeight="1" x14ac:dyDescent="0.3">
      <c r="K314"/>
      <c r="L314"/>
      <c r="M314"/>
    </row>
    <row r="315" spans="11:13" ht="15.75" customHeight="1" x14ac:dyDescent="0.3">
      <c r="K315"/>
      <c r="L315"/>
      <c r="M315"/>
    </row>
    <row r="316" spans="11:13" ht="15.75" customHeight="1" x14ac:dyDescent="0.3">
      <c r="K316"/>
      <c r="L316"/>
      <c r="M316"/>
    </row>
    <row r="317" spans="11:13" ht="15.75" customHeight="1" x14ac:dyDescent="0.3">
      <c r="K317"/>
      <c r="L317"/>
      <c r="M317"/>
    </row>
    <row r="318" spans="11:13" ht="15.75" customHeight="1" x14ac:dyDescent="0.3">
      <c r="K318"/>
      <c r="L318"/>
      <c r="M318"/>
    </row>
    <row r="319" spans="11:13" ht="15.75" customHeight="1" x14ac:dyDescent="0.3">
      <c r="K319"/>
      <c r="L319"/>
      <c r="M319"/>
    </row>
    <row r="320" spans="11:13" ht="15.75" customHeight="1" x14ac:dyDescent="0.3">
      <c r="K320"/>
      <c r="L320"/>
      <c r="M320"/>
    </row>
    <row r="321" spans="11:13" ht="15.75" customHeight="1" x14ac:dyDescent="0.3">
      <c r="K321"/>
      <c r="L321"/>
      <c r="M321"/>
    </row>
    <row r="322" spans="11:13" ht="15.75" customHeight="1" x14ac:dyDescent="0.3">
      <c r="K322"/>
      <c r="L322"/>
      <c r="M322"/>
    </row>
    <row r="323" spans="11:13" ht="15.75" customHeight="1" x14ac:dyDescent="0.3">
      <c r="K323"/>
      <c r="L323"/>
      <c r="M323"/>
    </row>
    <row r="324" spans="11:13" ht="15.75" customHeight="1" x14ac:dyDescent="0.3">
      <c r="K324"/>
      <c r="L324"/>
      <c r="M324"/>
    </row>
    <row r="325" spans="11:13" ht="15.75" customHeight="1" x14ac:dyDescent="0.3">
      <c r="K325"/>
      <c r="L325"/>
      <c r="M325"/>
    </row>
    <row r="326" spans="11:13" ht="15.75" customHeight="1" x14ac:dyDescent="0.3">
      <c r="K326"/>
      <c r="L326"/>
      <c r="M326"/>
    </row>
    <row r="327" spans="11:13" ht="15.75" customHeight="1" x14ac:dyDescent="0.3">
      <c r="K327"/>
      <c r="L327"/>
      <c r="M327"/>
    </row>
    <row r="328" spans="11:13" ht="15.75" customHeight="1" x14ac:dyDescent="0.3">
      <c r="K328"/>
      <c r="L328"/>
      <c r="M328"/>
    </row>
    <row r="329" spans="11:13" ht="15.75" customHeight="1" x14ac:dyDescent="0.3">
      <c r="K329"/>
      <c r="L329"/>
      <c r="M329"/>
    </row>
    <row r="330" spans="11:13" ht="15.75" customHeight="1" x14ac:dyDescent="0.3">
      <c r="K330"/>
      <c r="L330"/>
      <c r="M330"/>
    </row>
    <row r="331" spans="11:13" ht="15.75" customHeight="1" x14ac:dyDescent="0.3">
      <c r="K331"/>
      <c r="L331"/>
      <c r="M331"/>
    </row>
    <row r="332" spans="11:13" ht="15.75" customHeight="1" x14ac:dyDescent="0.3">
      <c r="K332"/>
      <c r="L332"/>
      <c r="M332"/>
    </row>
    <row r="333" spans="11:13" ht="15.75" customHeight="1" x14ac:dyDescent="0.3">
      <c r="K333"/>
      <c r="L333"/>
      <c r="M333"/>
    </row>
    <row r="334" spans="11:13" ht="15.75" customHeight="1" x14ac:dyDescent="0.3">
      <c r="K334"/>
      <c r="L334"/>
      <c r="M334"/>
    </row>
    <row r="335" spans="11:13" ht="15.75" customHeight="1" x14ac:dyDescent="0.3">
      <c r="K335"/>
      <c r="L335"/>
      <c r="M335"/>
    </row>
    <row r="336" spans="11:13" ht="15.75" customHeight="1" x14ac:dyDescent="0.3">
      <c r="K336"/>
      <c r="L336"/>
      <c r="M336"/>
    </row>
    <row r="337" spans="11:13" ht="15.75" customHeight="1" x14ac:dyDescent="0.3">
      <c r="K337"/>
      <c r="L337"/>
      <c r="M337"/>
    </row>
    <row r="338" spans="11:13" ht="15.75" customHeight="1" x14ac:dyDescent="0.3">
      <c r="K338"/>
      <c r="L338"/>
      <c r="M338"/>
    </row>
    <row r="339" spans="11:13" ht="15.75" customHeight="1" x14ac:dyDescent="0.3">
      <c r="K339"/>
      <c r="L339"/>
      <c r="M339"/>
    </row>
    <row r="340" spans="11:13" ht="15.75" customHeight="1" x14ac:dyDescent="0.3">
      <c r="K340"/>
      <c r="L340"/>
      <c r="M340"/>
    </row>
    <row r="341" spans="11:13" ht="15.75" customHeight="1" x14ac:dyDescent="0.3">
      <c r="K341"/>
      <c r="L341"/>
      <c r="M341"/>
    </row>
    <row r="342" spans="11:13" ht="15.75" customHeight="1" x14ac:dyDescent="0.3">
      <c r="K342"/>
      <c r="L342"/>
      <c r="M342"/>
    </row>
    <row r="343" spans="11:13" ht="15.75" customHeight="1" x14ac:dyDescent="0.3">
      <c r="K343"/>
      <c r="L343"/>
      <c r="M343"/>
    </row>
    <row r="344" spans="11:13" ht="15.75" customHeight="1" x14ac:dyDescent="0.3">
      <c r="K344"/>
      <c r="L344"/>
      <c r="M344"/>
    </row>
    <row r="345" spans="11:13" ht="15.75" customHeight="1" x14ac:dyDescent="0.3">
      <c r="K345"/>
      <c r="L345"/>
      <c r="M345"/>
    </row>
    <row r="346" spans="11:13" ht="15.75" customHeight="1" x14ac:dyDescent="0.3">
      <c r="K346"/>
      <c r="L346"/>
      <c r="M346"/>
    </row>
    <row r="347" spans="11:13" ht="15.75" customHeight="1" x14ac:dyDescent="0.3">
      <c r="K347"/>
      <c r="L347"/>
      <c r="M347"/>
    </row>
    <row r="348" spans="11:13" ht="15.75" customHeight="1" x14ac:dyDescent="0.3">
      <c r="K348"/>
      <c r="L348"/>
      <c r="M348"/>
    </row>
    <row r="349" spans="11:13" ht="15.75" customHeight="1" x14ac:dyDescent="0.3">
      <c r="K349"/>
      <c r="L349"/>
      <c r="M349"/>
    </row>
    <row r="350" spans="11:13" ht="15.75" customHeight="1" x14ac:dyDescent="0.3">
      <c r="K350"/>
      <c r="L350"/>
      <c r="M350"/>
    </row>
    <row r="351" spans="11:13" ht="15.75" customHeight="1" x14ac:dyDescent="0.3">
      <c r="K351"/>
      <c r="L351"/>
      <c r="M351"/>
    </row>
    <row r="352" spans="11:13" ht="15.75" customHeight="1" x14ac:dyDescent="0.3">
      <c r="K352"/>
      <c r="L352"/>
      <c r="M352"/>
    </row>
    <row r="353" spans="11:13" ht="15.75" customHeight="1" x14ac:dyDescent="0.3">
      <c r="K353"/>
      <c r="L353"/>
      <c r="M353"/>
    </row>
    <row r="354" spans="11:13" ht="15.75" customHeight="1" x14ac:dyDescent="0.3">
      <c r="K354"/>
      <c r="L354"/>
      <c r="M354"/>
    </row>
    <row r="355" spans="11:13" ht="15.75" customHeight="1" x14ac:dyDescent="0.3">
      <c r="K355"/>
      <c r="L355"/>
      <c r="M355"/>
    </row>
    <row r="356" spans="11:13" ht="15.75" customHeight="1" x14ac:dyDescent="0.3">
      <c r="K356"/>
      <c r="L356"/>
      <c r="M356"/>
    </row>
    <row r="357" spans="11:13" ht="15.75" customHeight="1" x14ac:dyDescent="0.3">
      <c r="K357"/>
      <c r="L357"/>
      <c r="M357"/>
    </row>
    <row r="358" spans="11:13" ht="15.75" customHeight="1" x14ac:dyDescent="0.3">
      <c r="K358"/>
      <c r="L358"/>
      <c r="M358"/>
    </row>
    <row r="359" spans="11:13" ht="15.75" customHeight="1" x14ac:dyDescent="0.3">
      <c r="K359"/>
      <c r="L359"/>
      <c r="M359"/>
    </row>
    <row r="360" spans="11:13" ht="15.75" customHeight="1" x14ac:dyDescent="0.3">
      <c r="K360"/>
      <c r="L360"/>
      <c r="M360"/>
    </row>
    <row r="361" spans="11:13" ht="15.75" customHeight="1" x14ac:dyDescent="0.3">
      <c r="K361"/>
      <c r="L361"/>
      <c r="M361"/>
    </row>
    <row r="362" spans="11:13" ht="15.75" customHeight="1" x14ac:dyDescent="0.3">
      <c r="K362"/>
      <c r="L362"/>
      <c r="M362"/>
    </row>
    <row r="363" spans="11:13" ht="15.75" customHeight="1" x14ac:dyDescent="0.3">
      <c r="K363"/>
      <c r="L363"/>
      <c r="M363"/>
    </row>
    <row r="364" spans="11:13" ht="15.75" customHeight="1" x14ac:dyDescent="0.3">
      <c r="K364"/>
      <c r="L364"/>
      <c r="M364"/>
    </row>
    <row r="365" spans="11:13" ht="15.75" customHeight="1" x14ac:dyDescent="0.3">
      <c r="K365"/>
      <c r="L365"/>
      <c r="M365"/>
    </row>
    <row r="366" spans="11:13" ht="15.75" customHeight="1" x14ac:dyDescent="0.3">
      <c r="K366"/>
      <c r="L366"/>
      <c r="M366"/>
    </row>
    <row r="367" spans="11:13" ht="15.75" customHeight="1" x14ac:dyDescent="0.3">
      <c r="K367"/>
      <c r="L367"/>
      <c r="M367"/>
    </row>
    <row r="368" spans="11:13" ht="15.75" customHeight="1" x14ac:dyDescent="0.3">
      <c r="K368"/>
      <c r="L368"/>
      <c r="M368"/>
    </row>
    <row r="369" spans="11:13" ht="15.75" customHeight="1" x14ac:dyDescent="0.3">
      <c r="K369"/>
      <c r="L369"/>
      <c r="M369"/>
    </row>
    <row r="370" spans="11:13" ht="15.75" customHeight="1" x14ac:dyDescent="0.3">
      <c r="K370"/>
      <c r="L370"/>
      <c r="M370"/>
    </row>
    <row r="371" spans="11:13" ht="15.75" customHeight="1" x14ac:dyDescent="0.3">
      <c r="K371"/>
      <c r="L371"/>
      <c r="M371"/>
    </row>
    <row r="372" spans="11:13" ht="15.75" customHeight="1" x14ac:dyDescent="0.3">
      <c r="K372"/>
      <c r="L372"/>
      <c r="M372"/>
    </row>
    <row r="373" spans="11:13" ht="15.75" customHeight="1" x14ac:dyDescent="0.3">
      <c r="K373"/>
      <c r="L373"/>
      <c r="M373"/>
    </row>
    <row r="374" spans="11:13" ht="15.75" customHeight="1" x14ac:dyDescent="0.3">
      <c r="K374"/>
      <c r="L374"/>
      <c r="M374"/>
    </row>
    <row r="375" spans="11:13" ht="15.75" customHeight="1" x14ac:dyDescent="0.3">
      <c r="K375"/>
      <c r="L375"/>
      <c r="M375"/>
    </row>
    <row r="376" spans="11:13" ht="15.75" customHeight="1" x14ac:dyDescent="0.3">
      <c r="K376"/>
      <c r="L376"/>
      <c r="M376"/>
    </row>
    <row r="377" spans="11:13" ht="15.75" customHeight="1" x14ac:dyDescent="0.3">
      <c r="K377"/>
      <c r="L377"/>
      <c r="M377"/>
    </row>
    <row r="378" spans="11:13" ht="15.75" customHeight="1" x14ac:dyDescent="0.3">
      <c r="K378"/>
      <c r="L378"/>
      <c r="M378"/>
    </row>
    <row r="379" spans="11:13" ht="15.75" customHeight="1" x14ac:dyDescent="0.3">
      <c r="K379"/>
      <c r="L379"/>
      <c r="M379"/>
    </row>
    <row r="380" spans="11:13" ht="15.75" customHeight="1" x14ac:dyDescent="0.3">
      <c r="K380"/>
      <c r="L380"/>
      <c r="M380"/>
    </row>
    <row r="381" spans="11:13" ht="15.75" customHeight="1" x14ac:dyDescent="0.3">
      <c r="K381"/>
      <c r="L381"/>
      <c r="M381"/>
    </row>
    <row r="382" spans="11:13" ht="15.75" customHeight="1" x14ac:dyDescent="0.3">
      <c r="K382"/>
      <c r="L382"/>
      <c r="M382"/>
    </row>
    <row r="383" spans="11:13" ht="15.75" customHeight="1" x14ac:dyDescent="0.3">
      <c r="K383"/>
      <c r="L383"/>
      <c r="M383"/>
    </row>
    <row r="384" spans="11:13" ht="15.75" customHeight="1" x14ac:dyDescent="0.3">
      <c r="K384"/>
      <c r="L384"/>
      <c r="M384"/>
    </row>
    <row r="385" spans="11:13" ht="15.75" customHeight="1" x14ac:dyDescent="0.3">
      <c r="K385"/>
      <c r="L385"/>
      <c r="M385"/>
    </row>
    <row r="386" spans="11:13" ht="15.75" customHeight="1" x14ac:dyDescent="0.3">
      <c r="K386"/>
      <c r="L386"/>
      <c r="M386"/>
    </row>
    <row r="387" spans="11:13" ht="15.75" customHeight="1" x14ac:dyDescent="0.3">
      <c r="K387"/>
      <c r="L387"/>
      <c r="M387"/>
    </row>
    <row r="388" spans="11:13" ht="15.75" customHeight="1" x14ac:dyDescent="0.3">
      <c r="K388"/>
      <c r="L388"/>
      <c r="M388"/>
    </row>
    <row r="389" spans="11:13" ht="15.75" customHeight="1" x14ac:dyDescent="0.3">
      <c r="K389"/>
      <c r="L389"/>
      <c r="M389"/>
    </row>
    <row r="390" spans="11:13" ht="15.75" customHeight="1" x14ac:dyDescent="0.3">
      <c r="K390"/>
      <c r="L390"/>
      <c r="M390"/>
    </row>
    <row r="391" spans="11:13" ht="15.75" customHeight="1" x14ac:dyDescent="0.3">
      <c r="K391"/>
      <c r="L391"/>
      <c r="M391"/>
    </row>
    <row r="392" spans="11:13" ht="15.75" customHeight="1" x14ac:dyDescent="0.3">
      <c r="K392"/>
      <c r="L392"/>
      <c r="M392"/>
    </row>
    <row r="393" spans="11:13" ht="15.75" customHeight="1" x14ac:dyDescent="0.3">
      <c r="K393"/>
      <c r="L393"/>
      <c r="M393"/>
    </row>
    <row r="394" spans="11:13" ht="15.75" customHeight="1" x14ac:dyDescent="0.3">
      <c r="K394"/>
      <c r="L394"/>
      <c r="M394"/>
    </row>
    <row r="395" spans="11:13" ht="15.75" customHeight="1" x14ac:dyDescent="0.3">
      <c r="K395"/>
      <c r="L395"/>
      <c r="M395"/>
    </row>
    <row r="396" spans="11:13" ht="15.75" customHeight="1" x14ac:dyDescent="0.3">
      <c r="K396"/>
      <c r="L396"/>
      <c r="M396"/>
    </row>
    <row r="397" spans="11:13" ht="15.75" customHeight="1" x14ac:dyDescent="0.3">
      <c r="K397"/>
      <c r="L397"/>
      <c r="M397"/>
    </row>
    <row r="398" spans="11:13" ht="15.75" customHeight="1" x14ac:dyDescent="0.3">
      <c r="K398"/>
      <c r="L398"/>
      <c r="M398"/>
    </row>
    <row r="399" spans="11:13" ht="15.75" customHeight="1" x14ac:dyDescent="0.3">
      <c r="K399"/>
      <c r="L399"/>
      <c r="M399"/>
    </row>
    <row r="400" spans="11:13" ht="15.75" customHeight="1" x14ac:dyDescent="0.3">
      <c r="K400"/>
      <c r="L400"/>
      <c r="M400"/>
    </row>
    <row r="401" spans="11:13" ht="15.75" customHeight="1" x14ac:dyDescent="0.3">
      <c r="K401"/>
      <c r="L401"/>
      <c r="M401"/>
    </row>
    <row r="402" spans="11:13" ht="15.75" customHeight="1" x14ac:dyDescent="0.3">
      <c r="K402"/>
      <c r="L402"/>
      <c r="M402"/>
    </row>
    <row r="403" spans="11:13" ht="15.75" customHeight="1" x14ac:dyDescent="0.3">
      <c r="K403"/>
      <c r="L403"/>
      <c r="M403"/>
    </row>
    <row r="404" spans="11:13" ht="15.75" customHeight="1" x14ac:dyDescent="0.3">
      <c r="K404"/>
      <c r="L404"/>
      <c r="M404"/>
    </row>
    <row r="405" spans="11:13" ht="15.75" customHeight="1" x14ac:dyDescent="0.3">
      <c r="K405"/>
      <c r="L405"/>
      <c r="M405"/>
    </row>
    <row r="406" spans="11:13" ht="15.75" customHeight="1" x14ac:dyDescent="0.3">
      <c r="K406"/>
      <c r="L406"/>
      <c r="M406"/>
    </row>
    <row r="407" spans="11:13" ht="15.75" customHeight="1" x14ac:dyDescent="0.3">
      <c r="K407"/>
      <c r="L407"/>
      <c r="M407"/>
    </row>
    <row r="408" spans="11:13" ht="15.75" customHeight="1" x14ac:dyDescent="0.3">
      <c r="K408"/>
      <c r="L408"/>
      <c r="M408"/>
    </row>
    <row r="409" spans="11:13" ht="15.75" customHeight="1" x14ac:dyDescent="0.3">
      <c r="K409"/>
      <c r="L409"/>
      <c r="M409"/>
    </row>
    <row r="410" spans="11:13" ht="15.75" customHeight="1" x14ac:dyDescent="0.3">
      <c r="K410"/>
      <c r="L410"/>
      <c r="M410"/>
    </row>
    <row r="411" spans="11:13" ht="15.75" customHeight="1" x14ac:dyDescent="0.3">
      <c r="K411"/>
      <c r="L411"/>
      <c r="M411"/>
    </row>
    <row r="412" spans="11:13" ht="15.75" customHeight="1" x14ac:dyDescent="0.3">
      <c r="K412"/>
      <c r="L412"/>
      <c r="M412"/>
    </row>
    <row r="413" spans="11:13" ht="15.75" customHeight="1" x14ac:dyDescent="0.3">
      <c r="K413"/>
      <c r="L413"/>
      <c r="M413"/>
    </row>
    <row r="414" spans="11:13" ht="15.75" customHeight="1" x14ac:dyDescent="0.3">
      <c r="K414"/>
      <c r="L414"/>
      <c r="M414"/>
    </row>
    <row r="415" spans="11:13" ht="15.75" customHeight="1" x14ac:dyDescent="0.3">
      <c r="K415"/>
      <c r="L415"/>
      <c r="M415"/>
    </row>
    <row r="416" spans="11:13" ht="15.75" customHeight="1" x14ac:dyDescent="0.3">
      <c r="K416"/>
      <c r="L416"/>
      <c r="M416"/>
    </row>
    <row r="417" spans="11:13" ht="15.75" customHeight="1" x14ac:dyDescent="0.3">
      <c r="K417"/>
      <c r="L417"/>
      <c r="M417"/>
    </row>
    <row r="418" spans="11:13" ht="15.75" customHeight="1" x14ac:dyDescent="0.3">
      <c r="K418"/>
      <c r="L418"/>
      <c r="M418"/>
    </row>
    <row r="419" spans="11:13" ht="15.75" customHeight="1" x14ac:dyDescent="0.3">
      <c r="K419"/>
      <c r="L419"/>
      <c r="M419"/>
    </row>
    <row r="420" spans="11:13" ht="15.75" customHeight="1" x14ac:dyDescent="0.3">
      <c r="K420"/>
      <c r="L420"/>
      <c r="M420"/>
    </row>
    <row r="421" spans="11:13" ht="15.75" customHeight="1" x14ac:dyDescent="0.3">
      <c r="K421"/>
      <c r="L421"/>
      <c r="M421"/>
    </row>
    <row r="422" spans="11:13" ht="15.75" customHeight="1" x14ac:dyDescent="0.3">
      <c r="K422"/>
      <c r="L422"/>
      <c r="M422"/>
    </row>
    <row r="423" spans="11:13" ht="15.75" customHeight="1" x14ac:dyDescent="0.3">
      <c r="K423"/>
      <c r="L423"/>
      <c r="M423"/>
    </row>
    <row r="424" spans="11:13" ht="15.75" customHeight="1" x14ac:dyDescent="0.3">
      <c r="K424"/>
      <c r="L424"/>
      <c r="M424"/>
    </row>
    <row r="425" spans="11:13" ht="15.75" customHeight="1" x14ac:dyDescent="0.3">
      <c r="K425"/>
      <c r="L425"/>
      <c r="M425"/>
    </row>
    <row r="426" spans="11:13" ht="15.75" customHeight="1" x14ac:dyDescent="0.3">
      <c r="K426"/>
      <c r="L426"/>
      <c r="M426"/>
    </row>
    <row r="427" spans="11:13" ht="15.75" customHeight="1" x14ac:dyDescent="0.3">
      <c r="K427"/>
      <c r="L427"/>
      <c r="M427"/>
    </row>
    <row r="428" spans="11:13" ht="15.75" customHeight="1" x14ac:dyDescent="0.3">
      <c r="K428"/>
      <c r="L428"/>
      <c r="M428"/>
    </row>
    <row r="429" spans="11:13" ht="15.75" customHeight="1" x14ac:dyDescent="0.3">
      <c r="K429"/>
      <c r="L429"/>
      <c r="M429"/>
    </row>
    <row r="430" spans="11:13" ht="15.75" customHeight="1" x14ac:dyDescent="0.3">
      <c r="K430"/>
      <c r="L430"/>
      <c r="M430"/>
    </row>
    <row r="431" spans="11:13" ht="15.75" customHeight="1" x14ac:dyDescent="0.3">
      <c r="K431"/>
      <c r="L431"/>
      <c r="M431"/>
    </row>
    <row r="432" spans="11:13" ht="15.75" customHeight="1" x14ac:dyDescent="0.3">
      <c r="K432"/>
      <c r="L432"/>
      <c r="M432"/>
    </row>
    <row r="433" spans="11:13" ht="15.75" customHeight="1" x14ac:dyDescent="0.3">
      <c r="K433"/>
      <c r="L433"/>
      <c r="M433"/>
    </row>
    <row r="434" spans="11:13" ht="15.75" customHeight="1" x14ac:dyDescent="0.3">
      <c r="K434"/>
      <c r="L434"/>
      <c r="M434"/>
    </row>
    <row r="435" spans="11:13" ht="15.75" customHeight="1" x14ac:dyDescent="0.3">
      <c r="K435"/>
      <c r="L435"/>
      <c r="M435"/>
    </row>
    <row r="436" spans="11:13" ht="15.75" customHeight="1" x14ac:dyDescent="0.3">
      <c r="K436"/>
      <c r="L436"/>
      <c r="M436"/>
    </row>
    <row r="437" spans="11:13" ht="15.75" customHeight="1" x14ac:dyDescent="0.3">
      <c r="K437"/>
      <c r="L437"/>
      <c r="M437"/>
    </row>
    <row r="438" spans="11:13" ht="15.75" customHeight="1" x14ac:dyDescent="0.3">
      <c r="K438"/>
      <c r="L438"/>
      <c r="M438"/>
    </row>
    <row r="439" spans="11:13" ht="15.75" customHeight="1" x14ac:dyDescent="0.3">
      <c r="K439"/>
      <c r="L439"/>
      <c r="M439"/>
    </row>
    <row r="440" spans="11:13" ht="15.75" customHeight="1" x14ac:dyDescent="0.3">
      <c r="K440"/>
      <c r="L440"/>
      <c r="M440"/>
    </row>
    <row r="441" spans="11:13" ht="15.75" customHeight="1" x14ac:dyDescent="0.3">
      <c r="K441"/>
      <c r="L441"/>
      <c r="M441"/>
    </row>
    <row r="442" spans="11:13" ht="15.75" customHeight="1" x14ac:dyDescent="0.3">
      <c r="K442"/>
      <c r="L442"/>
      <c r="M442"/>
    </row>
    <row r="443" spans="11:13" ht="15.75" customHeight="1" x14ac:dyDescent="0.3">
      <c r="K443"/>
      <c r="L443"/>
      <c r="M443"/>
    </row>
    <row r="444" spans="11:13" ht="15.75" customHeight="1" x14ac:dyDescent="0.3">
      <c r="K444"/>
      <c r="L444"/>
      <c r="M444"/>
    </row>
    <row r="445" spans="11:13" ht="15.75" customHeight="1" x14ac:dyDescent="0.3">
      <c r="K445"/>
      <c r="L445"/>
      <c r="M445"/>
    </row>
    <row r="446" spans="11:13" ht="15.75" customHeight="1" x14ac:dyDescent="0.3">
      <c r="K446"/>
      <c r="L446"/>
      <c r="M446"/>
    </row>
    <row r="447" spans="11:13" ht="15.75" customHeight="1" x14ac:dyDescent="0.3">
      <c r="K447"/>
      <c r="L447"/>
      <c r="M447"/>
    </row>
    <row r="448" spans="11:13" ht="15.75" customHeight="1" x14ac:dyDescent="0.3">
      <c r="K448"/>
      <c r="L448"/>
      <c r="M448"/>
    </row>
    <row r="449" spans="11:13" ht="15.75" customHeight="1" x14ac:dyDescent="0.3">
      <c r="K449"/>
      <c r="L449"/>
      <c r="M449"/>
    </row>
    <row r="450" spans="11:13" ht="15.75" customHeight="1" x14ac:dyDescent="0.3">
      <c r="K450"/>
      <c r="L450"/>
      <c r="M450"/>
    </row>
    <row r="451" spans="11:13" ht="15.75" customHeight="1" x14ac:dyDescent="0.3">
      <c r="K451"/>
      <c r="L451"/>
      <c r="M451"/>
    </row>
    <row r="452" spans="11:13" ht="15.75" customHeight="1" x14ac:dyDescent="0.3">
      <c r="K452"/>
      <c r="L452"/>
      <c r="M452"/>
    </row>
    <row r="453" spans="11:13" ht="15.75" customHeight="1" x14ac:dyDescent="0.3">
      <c r="K453"/>
      <c r="L453"/>
      <c r="M453"/>
    </row>
    <row r="454" spans="11:13" ht="15.75" customHeight="1" x14ac:dyDescent="0.3">
      <c r="K454"/>
      <c r="L454"/>
      <c r="M454"/>
    </row>
    <row r="455" spans="11:13" ht="15.75" customHeight="1" x14ac:dyDescent="0.3">
      <c r="K455"/>
      <c r="L455"/>
      <c r="M455"/>
    </row>
    <row r="456" spans="11:13" ht="15.75" customHeight="1" x14ac:dyDescent="0.3">
      <c r="K456"/>
      <c r="L456"/>
      <c r="M456"/>
    </row>
    <row r="457" spans="11:13" ht="15.75" customHeight="1" x14ac:dyDescent="0.3">
      <c r="K457"/>
      <c r="L457"/>
      <c r="M457"/>
    </row>
    <row r="458" spans="11:13" ht="15.75" customHeight="1" x14ac:dyDescent="0.3">
      <c r="K458"/>
      <c r="L458"/>
      <c r="M458"/>
    </row>
    <row r="459" spans="11:13" ht="15.75" customHeight="1" x14ac:dyDescent="0.3">
      <c r="K459"/>
      <c r="L459"/>
      <c r="M459"/>
    </row>
    <row r="460" spans="11:13" ht="15.75" customHeight="1" x14ac:dyDescent="0.3">
      <c r="K460"/>
      <c r="L460"/>
      <c r="M460"/>
    </row>
    <row r="461" spans="11:13" ht="15.75" customHeight="1" x14ac:dyDescent="0.3">
      <c r="K461"/>
      <c r="L461"/>
      <c r="M461"/>
    </row>
    <row r="462" spans="11:13" ht="15.75" customHeight="1" x14ac:dyDescent="0.3">
      <c r="K462"/>
      <c r="L462"/>
      <c r="M462"/>
    </row>
    <row r="463" spans="11:13" ht="15.75" customHeight="1" x14ac:dyDescent="0.3">
      <c r="K463"/>
      <c r="L463"/>
      <c r="M463"/>
    </row>
    <row r="464" spans="11:13" ht="15.75" customHeight="1" x14ac:dyDescent="0.3">
      <c r="K464"/>
      <c r="L464"/>
      <c r="M464"/>
    </row>
    <row r="465" spans="11:13" ht="15.75" customHeight="1" x14ac:dyDescent="0.3">
      <c r="K465"/>
      <c r="L465"/>
      <c r="M465"/>
    </row>
    <row r="466" spans="11:13" ht="15.75" customHeight="1" x14ac:dyDescent="0.3">
      <c r="K466"/>
      <c r="L466"/>
      <c r="M466"/>
    </row>
    <row r="467" spans="11:13" ht="15.75" customHeight="1" x14ac:dyDescent="0.3">
      <c r="K467"/>
      <c r="L467"/>
      <c r="M467"/>
    </row>
    <row r="468" spans="11:13" ht="15.75" customHeight="1" x14ac:dyDescent="0.3">
      <c r="K468"/>
      <c r="L468"/>
      <c r="M468"/>
    </row>
    <row r="469" spans="11:13" ht="15.75" customHeight="1" x14ac:dyDescent="0.3">
      <c r="K469"/>
      <c r="L469"/>
      <c r="M469"/>
    </row>
    <row r="470" spans="11:13" ht="15.75" customHeight="1" x14ac:dyDescent="0.3">
      <c r="K470"/>
      <c r="L470"/>
      <c r="M470"/>
    </row>
    <row r="471" spans="11:13" ht="15.75" customHeight="1" x14ac:dyDescent="0.3">
      <c r="K471"/>
      <c r="L471"/>
      <c r="M471"/>
    </row>
    <row r="472" spans="11:13" ht="15.75" customHeight="1" x14ac:dyDescent="0.3">
      <c r="K472"/>
      <c r="L472"/>
      <c r="M472"/>
    </row>
    <row r="473" spans="11:13" ht="15.75" customHeight="1" x14ac:dyDescent="0.3">
      <c r="K473"/>
      <c r="L473"/>
      <c r="M473"/>
    </row>
    <row r="474" spans="11:13" ht="15.75" customHeight="1" x14ac:dyDescent="0.3">
      <c r="K474"/>
      <c r="L474"/>
      <c r="M474"/>
    </row>
    <row r="475" spans="11:13" ht="15.75" customHeight="1" x14ac:dyDescent="0.3">
      <c r="K475"/>
      <c r="L475"/>
      <c r="M475"/>
    </row>
    <row r="476" spans="11:13" ht="15.75" customHeight="1" x14ac:dyDescent="0.3">
      <c r="K476"/>
      <c r="L476"/>
      <c r="M476"/>
    </row>
    <row r="477" spans="11:13" ht="15.75" customHeight="1" x14ac:dyDescent="0.3">
      <c r="K477"/>
      <c r="L477"/>
      <c r="M477"/>
    </row>
    <row r="478" spans="11:13" ht="15.75" customHeight="1" x14ac:dyDescent="0.3">
      <c r="K478"/>
      <c r="L478"/>
      <c r="M478"/>
    </row>
    <row r="479" spans="11:13" ht="15.75" customHeight="1" x14ac:dyDescent="0.3">
      <c r="K479"/>
      <c r="L479"/>
      <c r="M479"/>
    </row>
    <row r="480" spans="11:13" ht="15.75" customHeight="1" x14ac:dyDescent="0.3">
      <c r="K480"/>
      <c r="L480"/>
      <c r="M480"/>
    </row>
    <row r="481" spans="11:13" ht="15.75" customHeight="1" x14ac:dyDescent="0.3">
      <c r="K481"/>
      <c r="L481"/>
      <c r="M481"/>
    </row>
    <row r="482" spans="11:13" ht="15.75" customHeight="1" x14ac:dyDescent="0.3">
      <c r="K482"/>
      <c r="L482"/>
      <c r="M482"/>
    </row>
    <row r="483" spans="11:13" ht="15.75" customHeight="1" x14ac:dyDescent="0.3">
      <c r="K483"/>
      <c r="L483"/>
      <c r="M483"/>
    </row>
    <row r="484" spans="11:13" ht="15.75" customHeight="1" x14ac:dyDescent="0.3">
      <c r="K484"/>
      <c r="L484"/>
      <c r="M484"/>
    </row>
    <row r="485" spans="11:13" ht="15.75" customHeight="1" x14ac:dyDescent="0.3">
      <c r="K485"/>
      <c r="L485"/>
      <c r="M485"/>
    </row>
    <row r="486" spans="11:13" ht="15.75" customHeight="1" x14ac:dyDescent="0.3">
      <c r="K486"/>
      <c r="L486"/>
      <c r="M486"/>
    </row>
    <row r="487" spans="11:13" ht="15.75" customHeight="1" x14ac:dyDescent="0.3">
      <c r="K487"/>
      <c r="L487"/>
      <c r="M487"/>
    </row>
    <row r="488" spans="11:13" ht="15.75" customHeight="1" x14ac:dyDescent="0.3">
      <c r="K488"/>
      <c r="L488"/>
      <c r="M488"/>
    </row>
    <row r="489" spans="11:13" ht="15.75" customHeight="1" x14ac:dyDescent="0.3">
      <c r="K489"/>
      <c r="L489"/>
      <c r="M489"/>
    </row>
    <row r="490" spans="11:13" ht="15.75" customHeight="1" x14ac:dyDescent="0.3">
      <c r="K490"/>
      <c r="L490"/>
      <c r="M490"/>
    </row>
    <row r="491" spans="11:13" ht="15.75" customHeight="1" x14ac:dyDescent="0.3">
      <c r="K491"/>
      <c r="L491"/>
      <c r="M491"/>
    </row>
    <row r="492" spans="11:13" ht="15.75" customHeight="1" x14ac:dyDescent="0.3">
      <c r="K492"/>
      <c r="L492"/>
      <c r="M492"/>
    </row>
    <row r="493" spans="11:13" ht="15.75" customHeight="1" x14ac:dyDescent="0.3">
      <c r="K493"/>
      <c r="L493"/>
      <c r="M493"/>
    </row>
    <row r="494" spans="11:13" ht="15.75" customHeight="1" x14ac:dyDescent="0.3">
      <c r="K494"/>
      <c r="L494"/>
      <c r="M494"/>
    </row>
    <row r="495" spans="11:13" ht="15.75" customHeight="1" x14ac:dyDescent="0.3">
      <c r="K495"/>
      <c r="L495"/>
      <c r="M495"/>
    </row>
    <row r="496" spans="11:13" ht="15.75" customHeight="1" x14ac:dyDescent="0.3">
      <c r="K496"/>
      <c r="L496"/>
      <c r="M496"/>
    </row>
    <row r="497" spans="11:13" ht="15.75" customHeight="1" x14ac:dyDescent="0.3">
      <c r="K497"/>
      <c r="L497"/>
      <c r="M497"/>
    </row>
    <row r="498" spans="11:13" ht="15.75" customHeight="1" x14ac:dyDescent="0.3">
      <c r="K498"/>
      <c r="L498"/>
      <c r="M498"/>
    </row>
    <row r="499" spans="11:13" ht="15.75" customHeight="1" x14ac:dyDescent="0.3">
      <c r="K499"/>
      <c r="L499"/>
      <c r="M499"/>
    </row>
    <row r="500" spans="11:13" ht="15.75" customHeight="1" x14ac:dyDescent="0.3">
      <c r="K500"/>
      <c r="L500"/>
      <c r="M500"/>
    </row>
    <row r="501" spans="11:13" ht="15.75" customHeight="1" x14ac:dyDescent="0.3">
      <c r="K501"/>
      <c r="L501"/>
      <c r="M501"/>
    </row>
    <row r="502" spans="11:13" ht="15.75" customHeight="1" x14ac:dyDescent="0.3">
      <c r="K502"/>
      <c r="L502"/>
      <c r="M502"/>
    </row>
    <row r="503" spans="11:13" ht="15.75" customHeight="1" x14ac:dyDescent="0.3">
      <c r="K503"/>
      <c r="L503"/>
      <c r="M503"/>
    </row>
    <row r="504" spans="11:13" ht="15.75" customHeight="1" x14ac:dyDescent="0.3">
      <c r="K504"/>
      <c r="L504"/>
      <c r="M504"/>
    </row>
    <row r="505" spans="11:13" ht="15.75" customHeight="1" x14ac:dyDescent="0.3">
      <c r="K505"/>
      <c r="L505"/>
      <c r="M505"/>
    </row>
    <row r="506" spans="11:13" ht="15.75" customHeight="1" x14ac:dyDescent="0.3">
      <c r="K506"/>
      <c r="L506"/>
      <c r="M506"/>
    </row>
    <row r="507" spans="11:13" ht="15.75" customHeight="1" x14ac:dyDescent="0.3">
      <c r="K507"/>
      <c r="L507"/>
      <c r="M507"/>
    </row>
    <row r="508" spans="11:13" ht="15.75" customHeight="1" x14ac:dyDescent="0.3">
      <c r="K508"/>
      <c r="L508"/>
      <c r="M508"/>
    </row>
    <row r="509" spans="11:13" ht="15.75" customHeight="1" x14ac:dyDescent="0.3">
      <c r="K509"/>
      <c r="L509"/>
      <c r="M509"/>
    </row>
    <row r="510" spans="11:13" ht="15.75" customHeight="1" x14ac:dyDescent="0.3">
      <c r="K510"/>
      <c r="L510"/>
      <c r="M510"/>
    </row>
    <row r="511" spans="11:13" ht="15.75" customHeight="1" x14ac:dyDescent="0.3">
      <c r="K511"/>
      <c r="L511"/>
      <c r="M511"/>
    </row>
    <row r="512" spans="11:13" ht="15.75" customHeight="1" x14ac:dyDescent="0.3">
      <c r="K512"/>
      <c r="L512"/>
      <c r="M512"/>
    </row>
    <row r="513" spans="11:13" ht="15.75" customHeight="1" x14ac:dyDescent="0.3">
      <c r="K513"/>
      <c r="L513"/>
      <c r="M513"/>
    </row>
    <row r="514" spans="11:13" ht="15.75" customHeight="1" x14ac:dyDescent="0.3">
      <c r="K514"/>
      <c r="L514"/>
      <c r="M514"/>
    </row>
    <row r="515" spans="11:13" ht="15.75" customHeight="1" x14ac:dyDescent="0.3">
      <c r="K515"/>
      <c r="L515"/>
      <c r="M515"/>
    </row>
    <row r="516" spans="11:13" ht="15.75" customHeight="1" x14ac:dyDescent="0.3">
      <c r="K516"/>
      <c r="L516"/>
      <c r="M516"/>
    </row>
    <row r="517" spans="11:13" ht="15.75" customHeight="1" x14ac:dyDescent="0.3">
      <c r="K517"/>
      <c r="L517"/>
      <c r="M517"/>
    </row>
    <row r="518" spans="11:13" ht="15.75" customHeight="1" x14ac:dyDescent="0.3">
      <c r="K518"/>
      <c r="L518"/>
      <c r="M518"/>
    </row>
    <row r="519" spans="11:13" ht="15.75" customHeight="1" x14ac:dyDescent="0.3">
      <c r="K519"/>
      <c r="L519"/>
      <c r="M519"/>
    </row>
    <row r="520" spans="11:13" ht="15.75" customHeight="1" x14ac:dyDescent="0.3">
      <c r="K520"/>
      <c r="L520"/>
      <c r="M520"/>
    </row>
    <row r="521" spans="11:13" ht="15.75" customHeight="1" x14ac:dyDescent="0.3">
      <c r="K521"/>
      <c r="L521"/>
      <c r="M521"/>
    </row>
    <row r="522" spans="11:13" ht="15.75" customHeight="1" x14ac:dyDescent="0.3">
      <c r="K522"/>
      <c r="L522"/>
      <c r="M522"/>
    </row>
    <row r="523" spans="11:13" ht="15.75" customHeight="1" x14ac:dyDescent="0.3">
      <c r="K523"/>
      <c r="L523"/>
      <c r="M523"/>
    </row>
    <row r="524" spans="11:13" ht="15.75" customHeight="1" x14ac:dyDescent="0.3">
      <c r="K524"/>
      <c r="L524"/>
      <c r="M524"/>
    </row>
    <row r="525" spans="11:13" ht="15.75" customHeight="1" x14ac:dyDescent="0.3">
      <c r="K525"/>
      <c r="L525"/>
      <c r="M525"/>
    </row>
    <row r="526" spans="11:13" ht="15.75" customHeight="1" x14ac:dyDescent="0.3">
      <c r="K526"/>
      <c r="L526"/>
      <c r="M526"/>
    </row>
    <row r="527" spans="11:13" ht="15.75" customHeight="1" x14ac:dyDescent="0.3">
      <c r="K527"/>
      <c r="L527"/>
      <c r="M527"/>
    </row>
    <row r="528" spans="11:13" ht="15.75" customHeight="1" x14ac:dyDescent="0.3">
      <c r="K528"/>
      <c r="L528"/>
      <c r="M528"/>
    </row>
    <row r="529" spans="11:13" ht="15.75" customHeight="1" x14ac:dyDescent="0.3">
      <c r="K529"/>
      <c r="L529"/>
      <c r="M529"/>
    </row>
    <row r="530" spans="11:13" ht="15.75" customHeight="1" x14ac:dyDescent="0.3">
      <c r="K530"/>
      <c r="L530"/>
      <c r="M530"/>
    </row>
    <row r="531" spans="11:13" ht="15.75" customHeight="1" x14ac:dyDescent="0.3">
      <c r="K531"/>
      <c r="L531"/>
      <c r="M531"/>
    </row>
    <row r="532" spans="11:13" ht="15.75" customHeight="1" x14ac:dyDescent="0.3">
      <c r="K532"/>
      <c r="L532"/>
      <c r="M532"/>
    </row>
    <row r="533" spans="11:13" ht="15.75" customHeight="1" x14ac:dyDescent="0.3">
      <c r="K533"/>
      <c r="L533"/>
      <c r="M533"/>
    </row>
    <row r="534" spans="11:13" ht="15.75" customHeight="1" x14ac:dyDescent="0.3">
      <c r="K534"/>
      <c r="L534"/>
      <c r="M534"/>
    </row>
    <row r="535" spans="11:13" ht="15.75" customHeight="1" x14ac:dyDescent="0.3">
      <c r="K535"/>
      <c r="L535"/>
      <c r="M535"/>
    </row>
    <row r="536" spans="11:13" ht="15.75" customHeight="1" x14ac:dyDescent="0.3">
      <c r="K536"/>
      <c r="L536"/>
      <c r="M536"/>
    </row>
    <row r="537" spans="11:13" ht="15.75" customHeight="1" x14ac:dyDescent="0.3">
      <c r="K537"/>
      <c r="L537"/>
      <c r="M537"/>
    </row>
    <row r="538" spans="11:13" ht="15.75" customHeight="1" x14ac:dyDescent="0.3">
      <c r="K538"/>
      <c r="L538"/>
      <c r="M538"/>
    </row>
    <row r="539" spans="11:13" ht="15.75" customHeight="1" x14ac:dyDescent="0.3">
      <c r="K539"/>
      <c r="L539"/>
      <c r="M539"/>
    </row>
    <row r="540" spans="11:13" ht="15.75" customHeight="1" x14ac:dyDescent="0.3">
      <c r="K540"/>
      <c r="L540"/>
      <c r="M540"/>
    </row>
    <row r="541" spans="11:13" ht="15.75" customHeight="1" x14ac:dyDescent="0.3">
      <c r="K541"/>
      <c r="L541"/>
      <c r="M541"/>
    </row>
    <row r="542" spans="11:13" ht="15.75" customHeight="1" x14ac:dyDescent="0.3">
      <c r="K542"/>
      <c r="L542"/>
      <c r="M542"/>
    </row>
    <row r="543" spans="11:13" ht="15.75" customHeight="1" x14ac:dyDescent="0.3">
      <c r="K543"/>
      <c r="L543"/>
      <c r="M543"/>
    </row>
    <row r="544" spans="11:13" ht="15.75" customHeight="1" x14ac:dyDescent="0.3">
      <c r="K544"/>
      <c r="L544"/>
      <c r="M544"/>
    </row>
    <row r="545" spans="11:13" ht="15.75" customHeight="1" x14ac:dyDescent="0.3">
      <c r="K545"/>
      <c r="L545"/>
      <c r="M545"/>
    </row>
    <row r="546" spans="11:13" ht="15.75" customHeight="1" x14ac:dyDescent="0.3">
      <c r="K546"/>
      <c r="L546"/>
      <c r="M546"/>
    </row>
    <row r="547" spans="11:13" ht="15.75" customHeight="1" x14ac:dyDescent="0.3">
      <c r="K547"/>
      <c r="L547"/>
      <c r="M547"/>
    </row>
    <row r="548" spans="11:13" ht="15.75" customHeight="1" x14ac:dyDescent="0.3">
      <c r="K548"/>
      <c r="L548"/>
      <c r="M548"/>
    </row>
    <row r="549" spans="11:13" ht="15.75" customHeight="1" x14ac:dyDescent="0.3"/>
    <row r="550" spans="11:13" ht="15.75" customHeight="1" x14ac:dyDescent="0.3"/>
    <row r="551" spans="11:13" ht="15.75" customHeight="1" x14ac:dyDescent="0.3"/>
    <row r="552" spans="11:13" ht="15.75" customHeight="1" x14ac:dyDescent="0.3"/>
    <row r="553" spans="11:13" ht="15.75" customHeight="1" x14ac:dyDescent="0.3"/>
    <row r="554" spans="11:13" ht="15.75" customHeight="1" x14ac:dyDescent="0.3"/>
    <row r="555" spans="11:13" ht="15.75" customHeight="1" x14ac:dyDescent="0.3"/>
    <row r="556" spans="11:13" ht="15.75" customHeight="1" x14ac:dyDescent="0.3"/>
    <row r="557" spans="11:13" ht="15.75" customHeight="1" x14ac:dyDescent="0.3"/>
    <row r="558" spans="11:13" ht="15.75" customHeight="1" x14ac:dyDescent="0.3"/>
    <row r="559" spans="11:13" ht="15.75" customHeight="1" x14ac:dyDescent="0.3"/>
    <row r="560" spans="11:13"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O2:O11">
    <cfRule type="iconSet" priority="3">
      <iconSet iconSet="3Arrows">
        <cfvo type="percent" val="0"/>
        <cfvo type="percent" val="33"/>
        <cfvo type="percent" val="67"/>
      </iconSet>
    </cfRule>
    <cfRule type="top10" dxfId="0" priority="4" rank="10"/>
  </conditionalFormatting>
  <conditionalFormatting sqref="O20:O29">
    <cfRule type="dataBar" priority="1">
      <dataBar>
        <cfvo type="min"/>
        <cfvo type="max"/>
        <color rgb="FF638EC6"/>
      </dataBar>
      <extLst>
        <ext xmlns:x14="http://schemas.microsoft.com/office/spreadsheetml/2009/9/main" uri="{B025F937-C7B1-47D3-B67F-A62EFF666E3E}">
          <x14:id>{D2A1AB1F-0AB7-469C-8D45-C35231C077A4}</x14:id>
        </ext>
      </extLst>
    </cfRule>
  </conditionalFormatting>
  <pageMargins left="0.75" right="0.75" top="1" bottom="1" header="0" footer="0"/>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2A1AB1F-0AB7-469C-8D45-C35231C077A4}">
            <x14:dataBar minLength="0" maxLength="100" border="1" negativeBarBorderColorSameAsPositive="0">
              <x14:cfvo type="autoMin"/>
              <x14:cfvo type="autoMax"/>
              <x14:borderColor rgb="FF638EC6"/>
              <x14:negativeFillColor rgb="FFFF0000"/>
              <x14:negativeBorderColor rgb="FFFF0000"/>
              <x14:axisColor rgb="FF000000"/>
            </x14:dataBar>
          </x14:cfRule>
          <xm:sqref>O20:O29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Project Instructions</vt:lpstr>
      <vt:lpstr>Visualization</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Khushiieee</dc:creator>
  <cp:lastModifiedBy>DELL</cp:lastModifiedBy>
  <dcterms:created xsi:type="dcterms:W3CDTF">2025-12-19T09:28:45Z</dcterms:created>
  <dcterms:modified xsi:type="dcterms:W3CDTF">2025-12-22T09:44:40Z</dcterms:modified>
</cp:coreProperties>
</file>