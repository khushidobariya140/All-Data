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F:\"/>
    </mc:Choice>
  </mc:AlternateContent>
  <bookViews>
    <workbookView xWindow="0" yWindow="0" windowWidth="23040" windowHeight="9192"/>
  </bookViews>
  <sheets>
    <sheet name="Dashboard" sheetId="10" r:id="rId1"/>
    <sheet name="SHEET 1" sheetId="6" r:id="rId2"/>
    <sheet name="pivot table1" sheetId="8" r:id="rId3"/>
    <sheet name="pivot table 2" sheetId="9" r:id="rId4"/>
  </sheets>
  <definedNames>
    <definedName name="Slicer_ATTENDENCE">#N/A</definedName>
    <definedName name="Slicer_COURSE">#N/A</definedName>
  </definedNames>
  <calcPr calcId="162913"/>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 i="6" l="1"/>
  <c r="V2" i="6"/>
  <c r="U2" i="6"/>
  <c r="M17" i="6"/>
  <c r="O2" i="6"/>
  <c r="T3" i="6"/>
  <c r="T4" i="6"/>
  <c r="T5" i="6"/>
  <c r="T6" i="6"/>
  <c r="T7" i="6"/>
  <c r="T8" i="6"/>
  <c r="T9" i="6"/>
  <c r="T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2" i="6"/>
  <c r="N3" i="6"/>
  <c r="N4" i="6"/>
  <c r="N5" i="6"/>
  <c r="N6" i="6"/>
  <c r="N7" i="6"/>
  <c r="N8" i="6"/>
  <c r="N9" i="6"/>
  <c r="N10" i="6"/>
  <c r="N11" i="6"/>
  <c r="N12" i="6"/>
  <c r="N13" i="6"/>
  <c r="N14" i="6"/>
  <c r="N15" i="6"/>
  <c r="N16" i="6"/>
  <c r="N2" i="6"/>
  <c r="S3" i="6"/>
  <c r="S4" i="6"/>
  <c r="S5" i="6"/>
  <c r="S6" i="6"/>
  <c r="S7" i="6"/>
  <c r="S8" i="6"/>
  <c r="S9" i="6"/>
  <c r="S2" i="6"/>
  <c r="R3" i="6"/>
  <c r="R4" i="6"/>
  <c r="R5" i="6"/>
  <c r="R6" i="6"/>
  <c r="R7" i="6"/>
  <c r="R8" i="6"/>
  <c r="R9" i="6"/>
  <c r="R2" i="6"/>
  <c r="Q2" i="6"/>
  <c r="P2" i="6"/>
  <c r="O3" i="6"/>
  <c r="O4" i="6"/>
  <c r="O5" i="6"/>
  <c r="O6" i="6"/>
  <c r="O7" i="6"/>
  <c r="O8" i="6"/>
  <c r="O9" i="6"/>
  <c r="O10" i="6"/>
  <c r="O11" i="6"/>
  <c r="O12" i="6"/>
  <c r="O13" i="6"/>
  <c r="O14" i="6"/>
  <c r="O15" i="6"/>
  <c r="O16"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2" i="6"/>
  <c r="M24" i="6"/>
  <c r="M114" i="6"/>
  <c r="M33" i="6"/>
  <c r="M49" i="6"/>
  <c r="M65" i="6"/>
  <c r="M97" i="6"/>
  <c r="M115" i="6"/>
  <c r="M131" i="6"/>
  <c r="M147" i="6"/>
  <c r="M13" i="6"/>
  <c r="M68" i="6"/>
  <c r="M134" i="6"/>
  <c r="M22" i="6"/>
  <c r="M38" i="6"/>
  <c r="M54" i="6"/>
  <c r="M70" i="6"/>
  <c r="M86" i="6"/>
  <c r="M104" i="6"/>
  <c r="M120" i="6"/>
  <c r="M136" i="6"/>
  <c r="M152" i="6"/>
  <c r="M16" i="6"/>
  <c r="M72" i="6"/>
  <c r="M138" i="6"/>
  <c r="M27" i="6"/>
  <c r="M43" i="6"/>
  <c r="M59" i="6"/>
  <c r="M75" i="6"/>
  <c r="M91" i="6"/>
  <c r="M109" i="6"/>
  <c r="M125" i="6"/>
  <c r="M141" i="6"/>
  <c r="M7" i="6"/>
  <c r="M36" i="6"/>
  <c r="M92" i="6"/>
  <c r="M94" i="6"/>
  <c r="M128" i="6"/>
  <c r="M10" i="6"/>
  <c r="M106" i="6"/>
  <c r="M35" i="6"/>
  <c r="M67" i="6"/>
  <c r="M99" i="6"/>
  <c r="M133" i="6"/>
  <c r="M15" i="6"/>
  <c r="M126" i="6"/>
  <c r="M12" i="6"/>
  <c r="M45" i="6"/>
  <c r="M77" i="6"/>
  <c r="M93" i="6"/>
  <c r="M127" i="6"/>
  <c r="M9" i="6"/>
  <c r="M118" i="6"/>
  <c r="M34" i="6"/>
  <c r="M66" i="6"/>
  <c r="M98" i="6"/>
  <c r="M132" i="6"/>
  <c r="M14" i="6"/>
  <c r="M122" i="6"/>
  <c r="M39" i="6"/>
  <c r="M71" i="6"/>
  <c r="M105" i="6"/>
  <c r="M137" i="6"/>
  <c r="M20" i="6"/>
  <c r="M142" i="6"/>
  <c r="M60" i="6"/>
  <c r="M130" i="6"/>
  <c r="M21" i="6"/>
  <c r="M37" i="6"/>
  <c r="M53" i="6"/>
  <c r="M69" i="6"/>
  <c r="M85" i="6"/>
  <c r="M103" i="6"/>
  <c r="M119" i="6"/>
  <c r="M135" i="6"/>
  <c r="M151" i="6"/>
  <c r="M28" i="6"/>
  <c r="M84" i="6"/>
  <c r="M150" i="6"/>
  <c r="M26" i="6"/>
  <c r="M42" i="6"/>
  <c r="M58" i="6"/>
  <c r="M74" i="6"/>
  <c r="M90" i="6"/>
  <c r="M108" i="6"/>
  <c r="M124" i="6"/>
  <c r="M140" i="6"/>
  <c r="M6" i="6"/>
  <c r="M32" i="6"/>
  <c r="M88" i="6"/>
  <c r="M4" i="6"/>
  <c r="M31" i="6"/>
  <c r="M47" i="6"/>
  <c r="M63" i="6"/>
  <c r="M79" i="6"/>
  <c r="M95" i="6"/>
  <c r="M113" i="6"/>
  <c r="M129" i="6"/>
  <c r="M145" i="6"/>
  <c r="M11" i="6"/>
  <c r="M48" i="6"/>
  <c r="M110" i="6"/>
  <c r="M8" i="6"/>
  <c r="M80" i="6"/>
  <c r="M146" i="6"/>
  <c r="M25" i="6"/>
  <c r="M41" i="6"/>
  <c r="M57" i="6"/>
  <c r="M73" i="6"/>
  <c r="M89" i="6"/>
  <c r="M107" i="6"/>
  <c r="M123" i="6"/>
  <c r="M139" i="6"/>
  <c r="M5" i="6"/>
  <c r="M40" i="6"/>
  <c r="M100" i="6"/>
  <c r="M2" i="6"/>
  <c r="M30" i="6"/>
  <c r="M46" i="6"/>
  <c r="M62" i="6"/>
  <c r="M78" i="6"/>
  <c r="M112" i="6"/>
  <c r="M144" i="6"/>
  <c r="M44" i="6"/>
  <c r="M19" i="6"/>
  <c r="M51" i="6"/>
  <c r="M83" i="6"/>
  <c r="M117" i="6"/>
  <c r="M149" i="6"/>
  <c r="M64" i="6"/>
  <c r="M96" i="6"/>
  <c r="M29" i="6"/>
  <c r="M61" i="6"/>
  <c r="M111" i="6"/>
  <c r="M143" i="6"/>
  <c r="M52" i="6"/>
  <c r="M18" i="6"/>
  <c r="M50" i="6"/>
  <c r="M82" i="6"/>
  <c r="M116" i="6"/>
  <c r="M148" i="6"/>
  <c r="M56" i="6"/>
  <c r="M23" i="6"/>
  <c r="M55" i="6"/>
  <c r="M87" i="6"/>
  <c r="M121" i="6"/>
  <c r="M3" i="6"/>
  <c r="M76" i="6"/>
  <c r="M81" i="6" l="1"/>
</calcChain>
</file>

<file path=xl/sharedStrings.xml><?xml version="1.0" encoding="utf-8"?>
<sst xmlns="http://schemas.openxmlformats.org/spreadsheetml/2006/main" count="794" uniqueCount="470">
  <si>
    <t>STU001</t>
  </si>
  <si>
    <t>Aarav Mehta</t>
  </si>
  <si>
    <t>Male</t>
  </si>
  <si>
    <t>BCA</t>
  </si>
  <si>
    <t>Ahmedabad</t>
  </si>
  <si>
    <t>STU002</t>
  </si>
  <si>
    <t>Diya Patel</t>
  </si>
  <si>
    <t>Female</t>
  </si>
  <si>
    <t>BSc IT</t>
  </si>
  <si>
    <t>Surat</t>
  </si>
  <si>
    <t>STU003</t>
  </si>
  <si>
    <t>Rohan Shah</t>
  </si>
  <si>
    <t>BCom</t>
  </si>
  <si>
    <t>Vadodara</t>
  </si>
  <si>
    <t>STU004</t>
  </si>
  <si>
    <t>Priya Verma</t>
  </si>
  <si>
    <t>Jaipur</t>
  </si>
  <si>
    <t>STU005</t>
  </si>
  <si>
    <t>Kunal Joshi</t>
  </si>
  <si>
    <t>BBA</t>
  </si>
  <si>
    <t>Pune</t>
  </si>
  <si>
    <t>STU006</t>
  </si>
  <si>
    <t>Ananya Rao</t>
  </si>
  <si>
    <t>Bangalore</t>
  </si>
  <si>
    <t>STU007</t>
  </si>
  <si>
    <t>Vivaan Iyer</t>
  </si>
  <si>
    <t>Chennai</t>
  </si>
  <si>
    <t>STU008</t>
  </si>
  <si>
    <t>Isha Kapoor</t>
  </si>
  <si>
    <t>Delhi</t>
  </si>
  <si>
    <t>STU009</t>
  </si>
  <si>
    <t>Arjun Malhotra</t>
  </si>
  <si>
    <t>Noida</t>
  </si>
  <si>
    <t>STU010</t>
  </si>
  <si>
    <t>Neha Singh</t>
  </si>
  <si>
    <t>Lucknow</t>
  </si>
  <si>
    <t>STU011</t>
  </si>
  <si>
    <t>Siddharth Jain</t>
  </si>
  <si>
    <t>Indore</t>
  </si>
  <si>
    <t>STU012</t>
  </si>
  <si>
    <t>Pooja Nair</t>
  </si>
  <si>
    <t>Kochi</t>
  </si>
  <si>
    <t>STU013</t>
  </si>
  <si>
    <t>Aditya Kulkarni</t>
  </si>
  <si>
    <t>Nagpur</t>
  </si>
  <si>
    <t>STU014</t>
  </si>
  <si>
    <t>Kavya Bansal</t>
  </si>
  <si>
    <t>Chandigarh</t>
  </si>
  <si>
    <t>STU015</t>
  </si>
  <si>
    <t>Manish Gupta</t>
  </si>
  <si>
    <t>Kanpur</t>
  </si>
  <si>
    <t>STU016</t>
  </si>
  <si>
    <t>Ritika Arora</t>
  </si>
  <si>
    <t>Gurgaon</t>
  </si>
  <si>
    <t>STU017</t>
  </si>
  <si>
    <t>Amit Tiwari</t>
  </si>
  <si>
    <t>Prayagraj</t>
  </si>
  <si>
    <t>STU018</t>
  </si>
  <si>
    <t>Sneha Patil</t>
  </si>
  <si>
    <t>Nashik</t>
  </si>
  <si>
    <t>STU019</t>
  </si>
  <si>
    <t>Rahul Choudhary</t>
  </si>
  <si>
    <t>Bhopal</t>
  </si>
  <si>
    <t>STU020</t>
  </si>
  <si>
    <t>Meera Desai</t>
  </si>
  <si>
    <t>Vapi</t>
  </si>
  <si>
    <t>STU021</t>
  </si>
  <si>
    <t>Nikhil Soni</t>
  </si>
  <si>
    <t>Udaipur</t>
  </si>
  <si>
    <t>STU022</t>
  </si>
  <si>
    <t>Palak Trivedi</t>
  </si>
  <si>
    <t>Rajkot</t>
  </si>
  <si>
    <t>STU023</t>
  </si>
  <si>
    <t>Akash Rana</t>
  </si>
  <si>
    <t>Dehradun</t>
  </si>
  <si>
    <t>STU024</t>
  </si>
  <si>
    <t>Tanvi Kulkarni</t>
  </si>
  <si>
    <t>Kolhapur</t>
  </si>
  <si>
    <t>STU025</t>
  </si>
  <si>
    <t>Mohit Aggarwal</t>
  </si>
  <si>
    <t>Faridabad</t>
  </si>
  <si>
    <t>STU026</t>
  </si>
  <si>
    <t>Sonal Mishra</t>
  </si>
  <si>
    <t>Raipur</t>
  </si>
  <si>
    <t>STU027</t>
  </si>
  <si>
    <t>Harsh Vardhan</t>
  </si>
  <si>
    <t>Patna</t>
  </si>
  <si>
    <t>STU028</t>
  </si>
  <si>
    <t>Riya Chatterjee</t>
  </si>
  <si>
    <t>Kolkata</t>
  </si>
  <si>
    <t>STU029</t>
  </si>
  <si>
    <t>Varun Khanna</t>
  </si>
  <si>
    <t>Amritsar</t>
  </si>
  <si>
    <t>STU030</t>
  </si>
  <si>
    <t>Nisha Pandey</t>
  </si>
  <si>
    <t>Gwalior</t>
  </si>
  <si>
    <t>STU031</t>
  </si>
  <si>
    <t>Dev Arora</t>
  </si>
  <si>
    <t>Agra</t>
  </si>
  <si>
    <t>STU032</t>
  </si>
  <si>
    <t>Simran Kaur</t>
  </si>
  <si>
    <t>Ludhiana</t>
  </si>
  <si>
    <t>STU033</t>
  </si>
  <si>
    <t>Yash Patel</t>
  </si>
  <si>
    <t>Anand</t>
  </si>
  <si>
    <t>STU034</t>
  </si>
  <si>
    <t>Komal Joshi</t>
  </si>
  <si>
    <t>Bhavnagar</t>
  </si>
  <si>
    <t>STU035</t>
  </si>
  <si>
    <t>Raj Malhotra</t>
  </si>
  <si>
    <t>Panipat</t>
  </si>
  <si>
    <t>STU036</t>
  </si>
  <si>
    <t>Ayesha Khan</t>
  </si>
  <si>
    <t>STU037</t>
  </si>
  <si>
    <t>Karan Singh</t>
  </si>
  <si>
    <t>Meerut</t>
  </si>
  <si>
    <t>STU038</t>
  </si>
  <si>
    <t>Payal Jain</t>
  </si>
  <si>
    <t>Ujjain</t>
  </si>
  <si>
    <t>STU039</t>
  </si>
  <si>
    <t>Samar Roy</t>
  </si>
  <si>
    <t>Durgapur</t>
  </si>
  <si>
    <t>STU040</t>
  </si>
  <si>
    <t>Heena Shaikh</t>
  </si>
  <si>
    <t>Mumbai</t>
  </si>
  <si>
    <t>STU041</t>
  </si>
  <si>
    <t>Rohit Deshmukh</t>
  </si>
  <si>
    <t>Aurangabad</t>
  </si>
  <si>
    <t>STU042</t>
  </si>
  <si>
    <t>Pallavi Kulkarni</t>
  </si>
  <si>
    <t>Satara</t>
  </si>
  <si>
    <t>STU043</t>
  </si>
  <si>
    <t>Ayush Verma</t>
  </si>
  <si>
    <t>Rewa</t>
  </si>
  <si>
    <t>STU044</t>
  </si>
  <si>
    <t>Shreya Das</t>
  </si>
  <si>
    <t>Siliguri</t>
  </si>
  <si>
    <t>STU045</t>
  </si>
  <si>
    <t>Nitin Yadav</t>
  </si>
  <si>
    <t>Alwar</t>
  </si>
  <si>
    <t>STU046</t>
  </si>
  <si>
    <t>Renu Choudhary</t>
  </si>
  <si>
    <t>Jodhpur</t>
  </si>
  <si>
    <t>STU047</t>
  </si>
  <si>
    <t>Sachin Pawar</t>
  </si>
  <si>
    <t>Solapur</t>
  </si>
  <si>
    <t>STU048</t>
  </si>
  <si>
    <t>Mitali Ghosh</t>
  </si>
  <si>
    <t>Howrah</t>
  </si>
  <si>
    <t>STU049</t>
  </si>
  <si>
    <t>Deepak Rawat</t>
  </si>
  <si>
    <t>Rishikesh</t>
  </si>
  <si>
    <t>STU050</t>
  </si>
  <si>
    <t>Ankita Mishra</t>
  </si>
  <si>
    <t>Satna</t>
  </si>
  <si>
    <t>STUDENT_ID</t>
  </si>
  <si>
    <t>NAME</t>
  </si>
  <si>
    <t>GENDER</t>
  </si>
  <si>
    <t>COURSE</t>
  </si>
  <si>
    <t>SEMESTER</t>
  </si>
  <si>
    <t>CITY</t>
  </si>
  <si>
    <t>ATTENDENCE %</t>
  </si>
  <si>
    <t>INTERNAL_MARKS</t>
  </si>
  <si>
    <t>EXTERNAL_MARKS</t>
  </si>
  <si>
    <t>TOTAL_MARKS</t>
  </si>
  <si>
    <t>STU051</t>
  </si>
  <si>
    <t>Rahul Jain</t>
  </si>
  <si>
    <t>Neemuch</t>
  </si>
  <si>
    <t>STU052</t>
  </si>
  <si>
    <t>Priyanka Solanki</t>
  </si>
  <si>
    <t>Dewas</t>
  </si>
  <si>
    <t>STU053</t>
  </si>
  <si>
    <t>Nirav Patel</t>
  </si>
  <si>
    <t>Ankleshwar</t>
  </si>
  <si>
    <t>STU054</t>
  </si>
  <si>
    <t>Komal Rathod</t>
  </si>
  <si>
    <t>Botad</t>
  </si>
  <si>
    <t>STU055</t>
  </si>
  <si>
    <t>Harshit Sharma</t>
  </si>
  <si>
    <t>Hisar</t>
  </si>
  <si>
    <t>STU056</t>
  </si>
  <si>
    <t>Aditi Mishra</t>
  </si>
  <si>
    <t>STU057</t>
  </si>
  <si>
    <t>Prakash Yadav</t>
  </si>
  <si>
    <t>Azamgarh</t>
  </si>
  <si>
    <t>STU058</t>
  </si>
  <si>
    <t>Nandini Joshi</t>
  </si>
  <si>
    <t>STU059</t>
  </si>
  <si>
    <t>Mayank Verma</t>
  </si>
  <si>
    <t>Shahdol</t>
  </si>
  <si>
    <t>STU060</t>
  </si>
  <si>
    <t>Rupal Shah</t>
  </si>
  <si>
    <t>Godhra</t>
  </si>
  <si>
    <t>STU061</t>
  </si>
  <si>
    <t>Aman Khan</t>
  </si>
  <si>
    <t>Bareilly</t>
  </si>
  <si>
    <t>STU062</t>
  </si>
  <si>
    <t>Jinal Mehta</t>
  </si>
  <si>
    <t>Navsari</t>
  </si>
  <si>
    <t>STU063</t>
  </si>
  <si>
    <t>Rakesh Soni</t>
  </si>
  <si>
    <t>Churu</t>
  </si>
  <si>
    <t>STU064</t>
  </si>
  <si>
    <t>Priya Saxena</t>
  </si>
  <si>
    <t>Firozabad</t>
  </si>
  <si>
    <t>STU065</t>
  </si>
  <si>
    <t>Vikas Patel</t>
  </si>
  <si>
    <t>Bharuch</t>
  </si>
  <si>
    <t>STU066</t>
  </si>
  <si>
    <t>Neelam Gupta</t>
  </si>
  <si>
    <t>Etawah</t>
  </si>
  <si>
    <t>STU067</t>
  </si>
  <si>
    <t>Suresh Parmar</t>
  </si>
  <si>
    <t>Modasa</t>
  </si>
  <si>
    <t>STU068</t>
  </si>
  <si>
    <t>Alisha Khan</t>
  </si>
  <si>
    <t>Rampur</t>
  </si>
  <si>
    <t>STU069</t>
  </si>
  <si>
    <t>Ajay Yadav</t>
  </si>
  <si>
    <t>Ballia</t>
  </si>
  <si>
    <t>STU070</t>
  </si>
  <si>
    <t>Krupa Patel</t>
  </si>
  <si>
    <t>Bardoli</t>
  </si>
  <si>
    <t>STU071</t>
  </si>
  <si>
    <t>Pankaj Mishra</t>
  </si>
  <si>
    <t>Sidhi</t>
  </si>
  <si>
    <t>STU072</t>
  </si>
  <si>
    <t>Nisha Chauhan</t>
  </si>
  <si>
    <t>Dahod</t>
  </si>
  <si>
    <t>STU073</t>
  </si>
  <si>
    <t>Sanjay Kumar</t>
  </si>
  <si>
    <t>Motihari</t>
  </si>
  <si>
    <t>STU074</t>
  </si>
  <si>
    <t>Ritu Malviya</t>
  </si>
  <si>
    <t>Sehore</t>
  </si>
  <si>
    <t>STU075</t>
  </si>
  <si>
    <t>Deep Patel</t>
  </si>
  <si>
    <t>Unjha</t>
  </si>
  <si>
    <t>STU076</t>
  </si>
  <si>
    <t>Shalini Pandey</t>
  </si>
  <si>
    <t>Mirzapur</t>
  </si>
  <si>
    <t>STU077</t>
  </si>
  <si>
    <t>Manoj Verma</t>
  </si>
  <si>
    <t>Chandauli</t>
  </si>
  <si>
    <t>STU078</t>
  </si>
  <si>
    <t>Kajal Jain</t>
  </si>
  <si>
    <t>Mandsaur</t>
  </si>
  <si>
    <t>STU079</t>
  </si>
  <si>
    <t>Akshay Thakur</t>
  </si>
  <si>
    <t>Hamirpur</t>
  </si>
  <si>
    <t>STU080</t>
  </si>
  <si>
    <t>Preeti Yadav</t>
  </si>
  <si>
    <t>Mau</t>
  </si>
  <si>
    <t>STU081</t>
  </si>
  <si>
    <t>Naveen Solanki</t>
  </si>
  <si>
    <t>Jhalawar</t>
  </si>
  <si>
    <t>STU082</t>
  </si>
  <si>
    <t>Isha Goyal</t>
  </si>
  <si>
    <t>Sirsa</t>
  </si>
  <si>
    <t>STU083</t>
  </si>
  <si>
    <t>Rajesh Patel</t>
  </si>
  <si>
    <t>Kalol</t>
  </si>
  <si>
    <t>STU084</t>
  </si>
  <si>
    <t>Muskan Khan</t>
  </si>
  <si>
    <t>Baran</t>
  </si>
  <si>
    <t>STU085</t>
  </si>
  <si>
    <t>Satish Kumar</t>
  </si>
  <si>
    <t>Siwan</t>
  </si>
  <si>
    <t>STU086</t>
  </si>
  <si>
    <t>Ritika Sen</t>
  </si>
  <si>
    <t>Asansol</t>
  </si>
  <si>
    <t>STU087</t>
  </si>
  <si>
    <t>Kishan Patel</t>
  </si>
  <si>
    <t>Visnagar</t>
  </si>
  <si>
    <t>STU088</t>
  </si>
  <si>
    <t>Sonia Verma</t>
  </si>
  <si>
    <t>Hardoi</t>
  </si>
  <si>
    <t>STU089</t>
  </si>
  <si>
    <t>Vinod Singh</t>
  </si>
  <si>
    <t>Chhapra</t>
  </si>
  <si>
    <t>STU090</t>
  </si>
  <si>
    <t>Neha Joshi</t>
  </si>
  <si>
    <t>Bhilwara</t>
  </si>
  <si>
    <t>STU091</t>
  </si>
  <si>
    <t>Arvind Patel</t>
  </si>
  <si>
    <t>Kadi</t>
  </si>
  <si>
    <t>STU092</t>
  </si>
  <si>
    <t>Pooja Yadav</t>
  </si>
  <si>
    <t>Basti</t>
  </si>
  <si>
    <t>STU093</t>
  </si>
  <si>
    <t>Mahesh Kumar</t>
  </si>
  <si>
    <t>Samastipur</t>
  </si>
  <si>
    <t>STU094</t>
  </si>
  <si>
    <t>Komal Arora</t>
  </si>
  <si>
    <t>STU095</t>
  </si>
  <si>
    <t>Sunil Rathore</t>
  </si>
  <si>
    <t>Ratlam</t>
  </si>
  <si>
    <t>STU096</t>
  </si>
  <si>
    <t>Rashmi Patel</t>
  </si>
  <si>
    <t>Valsad</t>
  </si>
  <si>
    <t>STU097</t>
  </si>
  <si>
    <t>Alok Mishra</t>
  </si>
  <si>
    <t>Chitrakoot</t>
  </si>
  <si>
    <t>STU098</t>
  </si>
  <si>
    <t>Priyanka Das</t>
  </si>
  <si>
    <t>Dhanbad</t>
  </si>
  <si>
    <t>STU099</t>
  </si>
  <si>
    <t>Rohit Yadav</t>
  </si>
  <si>
    <t>Etah</t>
  </si>
  <si>
    <t>STU100</t>
  </si>
  <si>
    <t>Anjali Singh</t>
  </si>
  <si>
    <t>Faizabad</t>
  </si>
  <si>
    <t>STU101</t>
  </si>
  <si>
    <t>Rohit Verma</t>
  </si>
  <si>
    <t>Mathura</t>
  </si>
  <si>
    <t>STU102</t>
  </si>
  <si>
    <t>Priyanka Mishra</t>
  </si>
  <si>
    <t>Sultanpur</t>
  </si>
  <si>
    <t>STU103</t>
  </si>
  <si>
    <t>Ashish Kumar</t>
  </si>
  <si>
    <t>Ara</t>
  </si>
  <si>
    <t>STU104</t>
  </si>
  <si>
    <t>Neetu Sharma</t>
  </si>
  <si>
    <t>Bhiwani</t>
  </si>
  <si>
    <t>STU105</t>
  </si>
  <si>
    <t>Sandeep Patel</t>
  </si>
  <si>
    <t>Nadiad</t>
  </si>
  <si>
    <t>STU106</t>
  </si>
  <si>
    <t>Ritu Saxena</t>
  </si>
  <si>
    <t>Mainpuri</t>
  </si>
  <si>
    <t>STU107</t>
  </si>
  <si>
    <t>Vikas Yadav</t>
  </si>
  <si>
    <t>Ghazipur</t>
  </si>
  <si>
    <t>STU108</t>
  </si>
  <si>
    <t>Monika Jain</t>
  </si>
  <si>
    <t>Tonk</t>
  </si>
  <si>
    <t>STU109</t>
  </si>
  <si>
    <t>Amit Solanki</t>
  </si>
  <si>
    <t>Lunawada</t>
  </si>
  <si>
    <t>STU110</t>
  </si>
  <si>
    <t>Poonam Gupta</t>
  </si>
  <si>
    <t>Fatehpur</t>
  </si>
  <si>
    <t>STU111</t>
  </si>
  <si>
    <t>Manoj Singh</t>
  </si>
  <si>
    <t>Buxar</t>
  </si>
  <si>
    <t>STU112</t>
  </si>
  <si>
    <t>Kajal Mehta</t>
  </si>
  <si>
    <t>Palanpur</t>
  </si>
  <si>
    <t>STU113</t>
  </si>
  <si>
    <t>Nitin Choudhary</t>
  </si>
  <si>
    <t>Sikar</t>
  </si>
  <si>
    <t>STU114</t>
  </si>
  <si>
    <t>Rekha Yadav</t>
  </si>
  <si>
    <t>STU115</t>
  </si>
  <si>
    <t>Deepak Verma</t>
  </si>
  <si>
    <t>Balaghat</t>
  </si>
  <si>
    <t>STU116</t>
  </si>
  <si>
    <t>Shruti Patel</t>
  </si>
  <si>
    <t>STU117</t>
  </si>
  <si>
    <t>Rajeev Kumar</t>
  </si>
  <si>
    <t>Madhubani</t>
  </si>
  <si>
    <t>STU118</t>
  </si>
  <si>
    <t>Payal Sharma</t>
  </si>
  <si>
    <t>Sawai Madhopur</t>
  </si>
  <si>
    <t>STU119</t>
  </si>
  <si>
    <t>Sunil Yadav</t>
  </si>
  <si>
    <t>Bhadohi</t>
  </si>
  <si>
    <t>STU120</t>
  </si>
  <si>
    <t>Ankita Joshi</t>
  </si>
  <si>
    <t>Chittorgarh</t>
  </si>
  <si>
    <t>STU121</t>
  </si>
  <si>
    <t>Hemant Patel</t>
  </si>
  <si>
    <t>STU122</t>
  </si>
  <si>
    <t>Priyanshi Singh</t>
  </si>
  <si>
    <t>STU123</t>
  </si>
  <si>
    <t>Rakesh Mishra</t>
  </si>
  <si>
    <t>Reoti</t>
  </si>
  <si>
    <t>STU124</t>
  </si>
  <si>
    <t>Isha Shah</t>
  </si>
  <si>
    <t>STU125</t>
  </si>
  <si>
    <t>Kunal Thakur</t>
  </si>
  <si>
    <t>Mandi</t>
  </si>
  <si>
    <t>STU126</t>
  </si>
  <si>
    <t>Swati Verma</t>
  </si>
  <si>
    <t>STU127</t>
  </si>
  <si>
    <t>Ashok Yadav</t>
  </si>
  <si>
    <t>Chakia</t>
  </si>
  <si>
    <t>STU128</t>
  </si>
  <si>
    <t>Rimple Kaur</t>
  </si>
  <si>
    <t>Bathinda</t>
  </si>
  <si>
    <t>STU129</t>
  </si>
  <si>
    <t>Piyush Jain</t>
  </si>
  <si>
    <t>Merta</t>
  </si>
  <si>
    <t>STU130</t>
  </si>
  <si>
    <t>Sonal Trivedi</t>
  </si>
  <si>
    <t>Patan</t>
  </si>
  <si>
    <t>STU131</t>
  </si>
  <si>
    <t>Vinay Kumar</t>
  </si>
  <si>
    <t>Gopalganj</t>
  </si>
  <si>
    <t>STU132</t>
  </si>
  <si>
    <t>Nikita Parmar</t>
  </si>
  <si>
    <t>STU133</t>
  </si>
  <si>
    <t>Sachin Yadav</t>
  </si>
  <si>
    <t>Jaunpur</t>
  </si>
  <si>
    <t>STU134</t>
  </si>
  <si>
    <t>Rashmi Gupta</t>
  </si>
  <si>
    <t>Orai</t>
  </si>
  <si>
    <t>STU135</t>
  </si>
  <si>
    <t>Arun Singh</t>
  </si>
  <si>
    <t>STU136</t>
  </si>
  <si>
    <t>Komal Patel</t>
  </si>
  <si>
    <t>Mehsana</t>
  </si>
  <si>
    <t>STU137</t>
  </si>
  <si>
    <t>Mohit Sharma</t>
  </si>
  <si>
    <t>Rewari</t>
  </si>
  <si>
    <t>STU138</t>
  </si>
  <si>
    <t>Prachi Jain</t>
  </si>
  <si>
    <t>Nagaur</t>
  </si>
  <si>
    <t>STU139</t>
  </si>
  <si>
    <t>Dinesh Yadav</t>
  </si>
  <si>
    <t>STU140</t>
  </si>
  <si>
    <t>Tina Shah</t>
  </si>
  <si>
    <t>STU141</t>
  </si>
  <si>
    <t>Rajiv Kumar</t>
  </si>
  <si>
    <t>Saharsa</t>
  </si>
  <si>
    <t>STU142</t>
  </si>
  <si>
    <t>Shweta Mishra</t>
  </si>
  <si>
    <t>STU143</t>
  </si>
  <si>
    <t>Pankaj Singh</t>
  </si>
  <si>
    <t>STU144</t>
  </si>
  <si>
    <t>Aarti Joshi</t>
  </si>
  <si>
    <t>Banswara</t>
  </si>
  <si>
    <t>STU145</t>
  </si>
  <si>
    <t>Sumit Patel</t>
  </si>
  <si>
    <t>Dabhoi</t>
  </si>
  <si>
    <t>STU146</t>
  </si>
  <si>
    <t>Priya Soni</t>
  </si>
  <si>
    <t>Sirohi</t>
  </si>
  <si>
    <t>STU147</t>
  </si>
  <si>
    <t>Ram Kumar</t>
  </si>
  <si>
    <t>Arrah</t>
  </si>
  <si>
    <t>STU148</t>
  </si>
  <si>
    <t>Nisha Agarwal</t>
  </si>
  <si>
    <t>Kota</t>
  </si>
  <si>
    <t>STU149</t>
  </si>
  <si>
    <t>Vikas Chauhan</t>
  </si>
  <si>
    <t>Una</t>
  </si>
  <si>
    <t>STU150</t>
  </si>
  <si>
    <t>Anju Sharma</t>
  </si>
  <si>
    <t>Jhunjhunu</t>
  </si>
  <si>
    <t>HANDLE MISSING VALUES</t>
  </si>
  <si>
    <t>REMOVE DUPLICATES</t>
  </si>
  <si>
    <t>UPPER</t>
  </si>
  <si>
    <t>LOWER</t>
  </si>
  <si>
    <t>MAX</t>
  </si>
  <si>
    <t>MIN</t>
  </si>
  <si>
    <t>VLOOKUP</t>
  </si>
  <si>
    <t>INDEX + MATCH</t>
  </si>
  <si>
    <t>IF RESULT BY MARKS</t>
  </si>
  <si>
    <t>IF + AND</t>
  </si>
  <si>
    <t>UNIQUE</t>
  </si>
  <si>
    <t>Row Labels</t>
  </si>
  <si>
    <t>Grand Total</t>
  </si>
  <si>
    <t>Sum of TOTAL_MARKS</t>
  </si>
  <si>
    <t xml:space="preserve">            STUDENT  PERFORMANCE  DASHBOARD</t>
  </si>
  <si>
    <t>TOTAL STUDENTS</t>
  </si>
  <si>
    <t>AVERAGE MARKS</t>
  </si>
  <si>
    <t>AVERAGE ATTENDENCE %</t>
  </si>
  <si>
    <t xml:space="preserve">       PIVOT TABLE - 1</t>
  </si>
  <si>
    <t>PIVOT TABLE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</si>
</sst>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26"/>
      <color theme="1"/>
      <name val="Baskerville Old Face"/>
      <family val="1"/>
    </font>
    <font>
      <sz val="11"/>
      <color theme="1"/>
      <name val="Baskerville Old Face"/>
      <family val="1"/>
    </font>
    <font>
      <sz val="20"/>
      <color theme="1"/>
      <name val="Calibri"/>
      <family val="2"/>
      <scheme val="minor"/>
    </font>
    <font>
      <sz val="16"/>
      <color theme="1"/>
      <name val="Calibri"/>
      <family val="2"/>
      <scheme val="minor"/>
    </font>
  </fonts>
  <fills count="18">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9D3F4"/>
        <bgColor indexed="64"/>
      </patternFill>
    </fill>
    <fill>
      <patternFill patternType="solid">
        <fgColor rgb="FFCC99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1" xfId="0" applyFill="1" applyBorder="1"/>
    <xf numFmtId="0" fontId="0" fillId="3"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3" xfId="0" applyFill="1" applyBorder="1"/>
    <xf numFmtId="0" fontId="0" fillId="4" borderId="3" xfId="0" applyFill="1" applyBorder="1"/>
    <xf numFmtId="0" fontId="0" fillId="14" borderId="1" xfId="0" applyFill="1" applyBorder="1"/>
    <xf numFmtId="0" fontId="0" fillId="2" borderId="2" xfId="0" applyFill="1" applyBorder="1"/>
    <xf numFmtId="0" fontId="0" fillId="16" borderId="2" xfId="0" applyFill="1" applyBorder="1"/>
    <xf numFmtId="0" fontId="0" fillId="15" borderId="1" xfId="0" applyFill="1" applyBorder="1"/>
    <xf numFmtId="0" fontId="0" fillId="17" borderId="1" xfId="0"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 fillId="13" borderId="0" xfId="0" applyFont="1" applyFill="1" applyAlignment="1">
      <alignment horizontal="left"/>
    </xf>
    <xf numFmtId="0" fontId="2" fillId="13" borderId="0" xfId="0" applyFont="1" applyFill="1" applyAlignment="1">
      <alignment horizontal="left"/>
    </xf>
    <xf numFmtId="0" fontId="0" fillId="4" borderId="0" xfId="0" applyFill="1"/>
    <xf numFmtId="0" fontId="3" fillId="0" borderId="0" xfId="0" applyFont="1" applyAlignment="1">
      <alignment horizontal="left" vertical="center"/>
    </xf>
    <xf numFmtId="0" fontId="4" fillId="0" borderId="0" xfId="0" applyFont="1"/>
  </cellXfs>
  <cellStyles count="1">
    <cellStyle name="Normal" xfId="0" builtinId="0"/>
  </cellStyles>
  <dxfs count="24">
    <dxf>
      <border diagonalUp="0" diagonalDown="0" outline="0">
        <left style="thin">
          <color indexed="64"/>
        </left>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border>
    </dxf>
    <dxf>
      <border diagonalUp="0" diagonalDown="0" outline="0">
        <left/>
        <right style="thin">
          <color indexed="64"/>
        </right>
        <top style="thin">
          <color indexed="64"/>
        </top>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CC66FF"/>
      <color rgb="FFFFCCFF"/>
      <color rgb="FFCC99FF"/>
      <color rgb="FFF9D3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[khushi_dashboard.xlsx]pivot table1!PivotTable1</c:name>
    <c:fmtId val="3"/>
  </c:pivotSource>
  <c:chart>
    <c:title>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 table1'!$B$3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C8D-440A-8177-7015D4968C81}"/>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C8D-440A-8177-7015D4968C81}"/>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C8D-440A-8177-7015D4968C81}"/>
              </c:ext>
            </c:extLst>
          </c:dPt>
          <c:cat>
            <c:strRef>
              <c:f>'pivot table1'!$A$4:$A$7</c:f>
              <c:strCache>
                <c:ptCount val="3"/>
                <c:pt idx="0">
                  <c:v>BBA</c:v>
                </c:pt>
                <c:pt idx="1">
                  <c:v>BCA</c:v>
                </c:pt>
                <c:pt idx="2">
                  <c:v>BCom</c:v>
                </c:pt>
              </c:strCache>
            </c:strRef>
          </c:cat>
          <c:val>
            <c:numRef>
              <c:f>'pivot table1'!$B$4:$B$7</c:f>
              <c:numCache>
                <c:formatCode>General</c:formatCode>
                <c:ptCount val="3"/>
                <c:pt idx="0">
                  <c:v>177</c:v>
                </c:pt>
                <c:pt idx="1">
                  <c:v>57</c:v>
                </c:pt>
                <c:pt idx="2">
                  <c:v>118</c:v>
                </c:pt>
              </c:numCache>
            </c:numRef>
          </c:val>
          <c:extLst>
            <c:ext xmlns:c16="http://schemas.microsoft.com/office/drawing/2014/chart" uri="{C3380CC4-5D6E-409C-BE32-E72D297353CC}">
              <c16:uniqueId val="{00000006-EC8D-440A-8177-7015D4968C8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[khushi_dashboard.xlsx]pivot table1!PivotTable1</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table1'!$B$3</c:f>
              <c:strCache>
                <c:ptCount val="1"/>
                <c:pt idx="0">
                  <c:v>Total</c:v>
                </c:pt>
              </c:strCache>
            </c:strRef>
          </c:tx>
          <c:spPr>
            <a:solidFill>
              <a:schemeClr val="accent1"/>
            </a:solidFill>
            <a:ln>
              <a:noFill/>
            </a:ln>
            <a:effectLst/>
          </c:spPr>
          <c:invertIfNegative val="0"/>
          <c:cat>
            <c:strRef>
              <c:f>'pivot table1'!$A$4:$A$7</c:f>
              <c:strCache>
                <c:ptCount val="3"/>
                <c:pt idx="0">
                  <c:v>BBA</c:v>
                </c:pt>
                <c:pt idx="1">
                  <c:v>BCA</c:v>
                </c:pt>
                <c:pt idx="2">
                  <c:v>BCom</c:v>
                </c:pt>
              </c:strCache>
            </c:strRef>
          </c:cat>
          <c:val>
            <c:numRef>
              <c:f>'pivot table1'!$B$4:$B$7</c:f>
              <c:numCache>
                <c:formatCode>General</c:formatCode>
                <c:ptCount val="3"/>
                <c:pt idx="0">
                  <c:v>177</c:v>
                </c:pt>
                <c:pt idx="1">
                  <c:v>57</c:v>
                </c:pt>
                <c:pt idx="2">
                  <c:v>118</c:v>
                </c:pt>
              </c:numCache>
            </c:numRef>
          </c:val>
          <c:extLst>
            <c:ext xmlns:c16="http://schemas.microsoft.com/office/drawing/2014/chart" uri="{C3380CC4-5D6E-409C-BE32-E72D297353CC}">
              <c16:uniqueId val="{00000000-73E5-4C19-80EB-6E82EC428509}"/>
            </c:ext>
          </c:extLst>
        </c:ser>
        <c:dLbls>
          <c:showLegendKey val="0"/>
          <c:showVal val="0"/>
          <c:showCatName val="0"/>
          <c:showSerName val="0"/>
          <c:showPercent val="0"/>
          <c:showBubbleSize val="0"/>
        </c:dLbls>
        <c:gapWidth val="182"/>
        <c:axId val="1394810224"/>
        <c:axId val="1394807312"/>
      </c:barChart>
      <c:catAx>
        <c:axId val="139481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07312"/>
        <c:crosses val="autoZero"/>
        <c:auto val="1"/>
        <c:lblAlgn val="ctr"/>
        <c:lblOffset val="100"/>
        <c:noMultiLvlLbl val="0"/>
      </c:catAx>
      <c:valAx>
        <c:axId val="1394807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10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[khushi_dashboard.xlsx]pivot table 2!PivotTable2</c:name>
    <c:fmtId val="4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2'!$A$4:$A$6</c:f>
              <c:strCache>
                <c:ptCount val="2"/>
                <c:pt idx="0">
                  <c:v>Female</c:v>
                </c:pt>
                <c:pt idx="1">
                  <c:v>Male</c:v>
                </c:pt>
              </c:strCache>
            </c:strRef>
          </c:cat>
          <c:val>
            <c:numRef>
              <c:f>'pivot table 2'!$B$4:$B$6</c:f>
              <c:numCache>
                <c:formatCode>General</c:formatCode>
                <c:ptCount val="2"/>
                <c:pt idx="0">
                  <c:v>6329</c:v>
                </c:pt>
                <c:pt idx="1">
                  <c:v>4978</c:v>
                </c:pt>
              </c:numCache>
            </c:numRef>
          </c:val>
          <c:extLst>
            <c:ext xmlns:c16="http://schemas.microsoft.com/office/drawing/2014/chart" uri="{C3380CC4-5D6E-409C-BE32-E72D297353CC}">
              <c16:uniqueId val="{00000000-33FA-435D-9F8C-4347F83D5900}"/>
            </c:ext>
          </c:extLst>
        </c:ser>
        <c:dLbls>
          <c:showLegendKey val="0"/>
          <c:showVal val="0"/>
          <c:showCatName val="0"/>
          <c:showSerName val="0"/>
          <c:showPercent val="0"/>
          <c:showBubbleSize val="0"/>
        </c:dLbls>
        <c:gapWidth val="150"/>
        <c:axId val="1394811472"/>
        <c:axId val="1394803152"/>
      </c:barChart>
      <c:catAx>
        <c:axId val="139481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03152"/>
        <c:crosses val="autoZero"/>
        <c:auto val="1"/>
        <c:lblAlgn val="ctr"/>
        <c:lblOffset val="100"/>
        <c:noMultiLvlLbl val="0"/>
      </c:catAx>
      <c:valAx>
        <c:axId val="139480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11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[khushi_dashboard.xlsx]pivot table 2!PivotTable2</c:name>
    <c:fmtId val="4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ED-4CC9-BCBC-1E599C1AF5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ED-4CC9-BCBC-1E599C1AF590}"/>
              </c:ext>
            </c:extLst>
          </c:dPt>
          <c:cat>
            <c:strRef>
              <c:f>'pivot table 2'!$A$4:$A$6</c:f>
              <c:strCache>
                <c:ptCount val="2"/>
                <c:pt idx="0">
                  <c:v>Female</c:v>
                </c:pt>
                <c:pt idx="1">
                  <c:v>Male</c:v>
                </c:pt>
              </c:strCache>
            </c:strRef>
          </c:cat>
          <c:val>
            <c:numRef>
              <c:f>'pivot table 2'!$B$4:$B$6</c:f>
              <c:numCache>
                <c:formatCode>General</c:formatCode>
                <c:ptCount val="2"/>
                <c:pt idx="0">
                  <c:v>6329</c:v>
                </c:pt>
                <c:pt idx="1">
                  <c:v>4978</c:v>
                </c:pt>
              </c:numCache>
            </c:numRef>
          </c:val>
          <c:extLst>
            <c:ext xmlns:c16="http://schemas.microsoft.com/office/drawing/2014/chart" uri="{C3380CC4-5D6E-409C-BE32-E72D297353CC}">
              <c16:uniqueId val="{00000004-F0ED-4CC9-BCBC-1E599C1AF5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[khushi_dashboard.xlsx]pivot table1!PivotTable1</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s>
    <c:plotArea>
      <c:layout/>
      <c:pieChart>
        <c:varyColors val="1"/>
        <c:ser>
          <c:idx val="0"/>
          <c:order val="0"/>
          <c:tx>
            <c:strRef>
              <c:f>'pivot table1'!$B$3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cat>
            <c:strRef>
              <c:f>'pivot table1'!$A$4:$A$7</c:f>
              <c:strCache>
                <c:ptCount val="3"/>
                <c:pt idx="0">
                  <c:v>BBA</c:v>
                </c:pt>
                <c:pt idx="1">
                  <c:v>BCA</c:v>
                </c:pt>
                <c:pt idx="2">
                  <c:v>BCom</c:v>
                </c:pt>
              </c:strCache>
            </c:strRef>
          </c:cat>
          <c:val>
            <c:numRef>
              <c:f>'pivot table1'!$B$4:$B$7</c:f>
              <c:numCache>
                <c:formatCode>General</c:formatCode>
                <c:ptCount val="3"/>
                <c:pt idx="0">
                  <c:v>177</c:v>
                </c:pt>
                <c:pt idx="1">
                  <c:v>57</c:v>
                </c:pt>
                <c:pt idx="2">
                  <c:v>118</c:v>
                </c:pt>
              </c:numCache>
            </c:numRef>
          </c:val>
          <c:extLst>
            <c:ext xmlns:c16="http://schemas.microsoft.com/office/drawing/2014/chart" uri="{C3380CC4-5D6E-409C-BE32-E72D297353CC}">
              <c16:uniqueId val="{00000000-FA28-439C-8BDA-3CB6DD2CF3C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[khushi_dashboard.xlsx]pivot table1!PivotTable1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table1'!$B$3</c:f>
              <c:strCache>
                <c:ptCount val="1"/>
                <c:pt idx="0">
                  <c:v>Total</c:v>
                </c:pt>
              </c:strCache>
            </c:strRef>
          </c:tx>
          <c:spPr>
            <a:solidFill>
              <a:schemeClr val="accent1"/>
            </a:solidFill>
            <a:ln>
              <a:noFill/>
            </a:ln>
            <a:effectLst/>
          </c:spPr>
          <c:invertIfNegative val="0"/>
          <c:cat>
            <c:strRef>
              <c:f>'pivot table1'!$A$4:$A$7</c:f>
              <c:strCache>
                <c:ptCount val="3"/>
                <c:pt idx="0">
                  <c:v>BBA</c:v>
                </c:pt>
                <c:pt idx="1">
                  <c:v>BCA</c:v>
                </c:pt>
                <c:pt idx="2">
                  <c:v>BCom</c:v>
                </c:pt>
              </c:strCache>
            </c:strRef>
          </c:cat>
          <c:val>
            <c:numRef>
              <c:f>'pivot table1'!$B$4:$B$7</c:f>
              <c:numCache>
                <c:formatCode>General</c:formatCode>
                <c:ptCount val="3"/>
                <c:pt idx="0">
                  <c:v>177</c:v>
                </c:pt>
                <c:pt idx="1">
                  <c:v>57</c:v>
                </c:pt>
                <c:pt idx="2">
                  <c:v>118</c:v>
                </c:pt>
              </c:numCache>
            </c:numRef>
          </c:val>
          <c:extLst>
            <c:ext xmlns:c16="http://schemas.microsoft.com/office/drawing/2014/chart" uri="{C3380CC4-5D6E-409C-BE32-E72D297353CC}">
              <c16:uniqueId val="{00000000-3A4F-49D6-A640-AC4CFAA1A78B}"/>
            </c:ext>
          </c:extLst>
        </c:ser>
        <c:dLbls>
          <c:showLegendKey val="0"/>
          <c:showVal val="0"/>
          <c:showCatName val="0"/>
          <c:showSerName val="0"/>
          <c:showPercent val="0"/>
          <c:showBubbleSize val="0"/>
        </c:dLbls>
        <c:gapWidth val="182"/>
        <c:axId val="1394810224"/>
        <c:axId val="1394807312"/>
      </c:barChart>
      <c:catAx>
        <c:axId val="139481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07312"/>
        <c:crosses val="autoZero"/>
        <c:auto val="1"/>
        <c:lblAlgn val="ctr"/>
        <c:lblOffset val="100"/>
        <c:noMultiLvlLbl val="0"/>
      </c:catAx>
      <c:valAx>
        <c:axId val="1394807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10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[khushi_dashboard.xlsx]pivot table 2!PivotTable2</c:name>
    <c:fmtId val="3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2'!$A$4:$A$6</c:f>
              <c:strCache>
                <c:ptCount val="2"/>
                <c:pt idx="0">
                  <c:v>Female</c:v>
                </c:pt>
                <c:pt idx="1">
                  <c:v>Male</c:v>
                </c:pt>
              </c:strCache>
            </c:strRef>
          </c:cat>
          <c:val>
            <c:numRef>
              <c:f>'pivot table 2'!$B$4:$B$6</c:f>
              <c:numCache>
                <c:formatCode>General</c:formatCode>
                <c:ptCount val="2"/>
                <c:pt idx="0">
                  <c:v>6329</c:v>
                </c:pt>
                <c:pt idx="1">
                  <c:v>4978</c:v>
                </c:pt>
              </c:numCache>
            </c:numRef>
          </c:val>
          <c:extLst>
            <c:ext xmlns:c16="http://schemas.microsoft.com/office/drawing/2014/chart" uri="{C3380CC4-5D6E-409C-BE32-E72D297353CC}">
              <c16:uniqueId val="{00000000-F5F9-44A9-A558-8519A5088C98}"/>
            </c:ext>
          </c:extLst>
        </c:ser>
        <c:dLbls>
          <c:showLegendKey val="0"/>
          <c:showVal val="0"/>
          <c:showCatName val="0"/>
          <c:showSerName val="0"/>
          <c:showPercent val="0"/>
          <c:showBubbleSize val="0"/>
        </c:dLbls>
        <c:gapWidth val="150"/>
        <c:axId val="1394811472"/>
        <c:axId val="1394803152"/>
      </c:barChart>
      <c:catAx>
        <c:axId val="139481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03152"/>
        <c:crosses val="autoZero"/>
        <c:auto val="1"/>
        <c:lblAlgn val="ctr"/>
        <c:lblOffset val="100"/>
        <c:noMultiLvlLbl val="0"/>
      </c:catAx>
      <c:valAx>
        <c:axId val="139480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811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[khushi_dashboard.xlsx]pivot table 2!PivotTable2</c:name>
    <c:fmtId val="4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'pivot table 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 2'!$A$4:$A$6</c:f>
              <c:strCache>
                <c:ptCount val="2"/>
                <c:pt idx="0">
                  <c:v>Female</c:v>
                </c:pt>
                <c:pt idx="1">
                  <c:v>Male</c:v>
                </c:pt>
              </c:strCache>
            </c:strRef>
          </c:cat>
          <c:val>
            <c:numRef>
              <c:f>'pivot table 2'!$B$4:$B$6</c:f>
              <c:numCache>
                <c:formatCode>General</c:formatCode>
                <c:ptCount val="2"/>
                <c:pt idx="0">
                  <c:v>6329</c:v>
                </c:pt>
                <c:pt idx="1">
                  <c:v>4978</c:v>
                </c:pt>
              </c:numCache>
            </c:numRef>
          </c:val>
          <c:extLst>
            <c:ext xmlns:c16="http://schemas.microsoft.com/office/drawing/2014/chart" uri="{C3380CC4-5D6E-409C-BE32-E72D297353CC}">
              <c16:uniqueId val="{00000000-C5F2-40A2-AB66-1D1FA8D3F4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0</xdr:row>
      <xdr:rowOff>0</xdr:rowOff>
    </xdr:from>
    <xdr:to>
      <xdr:col>1</xdr:col>
      <xdr:colOff>121920</xdr:colOff>
      <xdr:row>3</xdr:row>
      <xdr:rowOff>53340</xdr:rowOff>
    </xdr:to>
    <xdr:pic>
      <xdr:nvPicPr>
        <xdr:cNvPr id="2" name="Picture 1"/>
        <xdr:cNvPicPr>
          <a:picLocks noChangeAspect="1"/>
        </xdr:cNvPicPr>
      </xdr:nvPicPr>
      <xdr:blipFill>
        <a:blip xmlns:r="http://schemas.openxmlformats.org/officeDocument/2006/relationships" r:embed="rId1"/>
        <a:stretch>
          <a:fillRect/>
        </a:stretch>
      </xdr:blipFill>
      <xdr:spPr>
        <a:xfrm>
          <a:off x="129540" y="0"/>
          <a:ext cx="601980" cy="601980"/>
        </a:xfrm>
        <a:prstGeom prst="rect">
          <a:avLst/>
        </a:prstGeom>
      </xdr:spPr>
    </xdr:pic>
    <xdr:clientData/>
  </xdr:twoCellAnchor>
  <xdr:twoCellAnchor>
    <xdr:from>
      <xdr:col>0</xdr:col>
      <xdr:colOff>571500</xdr:colOff>
      <xdr:row>4</xdr:row>
      <xdr:rowOff>167640</xdr:rowOff>
    </xdr:from>
    <xdr:to>
      <xdr:col>3</xdr:col>
      <xdr:colOff>601980</xdr:colOff>
      <xdr:row>8</xdr:row>
      <xdr:rowOff>175260</xdr:rowOff>
    </xdr:to>
    <xdr:sp macro="" textlink="">
      <xdr:nvSpPr>
        <xdr:cNvPr id="4" name="Rounded Rectangle 3"/>
        <xdr:cNvSpPr/>
      </xdr:nvSpPr>
      <xdr:spPr>
        <a:xfrm>
          <a:off x="571500" y="899160"/>
          <a:ext cx="185928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TOTAL</a:t>
          </a:r>
          <a:r>
            <a:rPr lang="en-US" sz="1100" b="1" i="1" u="sng" baseline="0"/>
            <a:t> STUDENTS</a:t>
          </a:r>
        </a:p>
        <a:p>
          <a:pPr algn="l"/>
          <a:endParaRPr lang="en-US" sz="1100" b="1" i="1" u="sng" baseline="0"/>
        </a:p>
        <a:p>
          <a:pPr algn="l"/>
          <a:r>
            <a:rPr lang="en-US" sz="1100" b="1" i="1" u="none" baseline="0"/>
            <a:t>                      </a:t>
          </a:r>
          <a:r>
            <a:rPr lang="en-US" sz="1100" b="1" i="1" u="sng" baseline="0"/>
            <a:t>249</a:t>
          </a:r>
          <a:endParaRPr lang="en-US" sz="1100" b="1" i="1" u="sng"/>
        </a:p>
      </xdr:txBody>
    </xdr:sp>
    <xdr:clientData/>
  </xdr:twoCellAnchor>
  <xdr:twoCellAnchor>
    <xdr:from>
      <xdr:col>5</xdr:col>
      <xdr:colOff>22860</xdr:colOff>
      <xdr:row>4</xdr:row>
      <xdr:rowOff>167640</xdr:rowOff>
    </xdr:from>
    <xdr:to>
      <xdr:col>8</xdr:col>
      <xdr:colOff>0</xdr:colOff>
      <xdr:row>9</xdr:row>
      <xdr:rowOff>22860</xdr:rowOff>
    </xdr:to>
    <xdr:sp macro="" textlink="">
      <xdr:nvSpPr>
        <xdr:cNvPr id="5" name="Rounded Rectangle 4"/>
        <xdr:cNvSpPr/>
      </xdr:nvSpPr>
      <xdr:spPr>
        <a:xfrm>
          <a:off x="3070860" y="899160"/>
          <a:ext cx="1805940" cy="7696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AVERAGE</a:t>
          </a:r>
          <a:r>
            <a:rPr lang="en-US" sz="1100" b="1" i="1" u="sng" baseline="0"/>
            <a:t> MARKS</a:t>
          </a:r>
        </a:p>
        <a:p>
          <a:pPr algn="l"/>
          <a:endParaRPr lang="en-US" sz="1100" b="1" i="1" u="sng" baseline="0"/>
        </a:p>
        <a:p>
          <a:pPr algn="l"/>
          <a:r>
            <a:rPr lang="en-US" sz="1100" b="1" i="1" u="none" baseline="0"/>
            <a:t>                    </a:t>
          </a:r>
          <a:r>
            <a:rPr lang="en-US" sz="1100" b="1" i="1" u="sng" baseline="0"/>
            <a:t>74.89</a:t>
          </a:r>
          <a:endParaRPr lang="en-US" sz="1100" b="1" i="1" u="sng"/>
        </a:p>
      </xdr:txBody>
    </xdr:sp>
    <xdr:clientData/>
  </xdr:twoCellAnchor>
  <xdr:twoCellAnchor>
    <xdr:from>
      <xdr:col>9</xdr:col>
      <xdr:colOff>7620</xdr:colOff>
      <xdr:row>5</xdr:row>
      <xdr:rowOff>0</xdr:rowOff>
    </xdr:from>
    <xdr:to>
      <xdr:col>11</xdr:col>
      <xdr:colOff>601980</xdr:colOff>
      <xdr:row>8</xdr:row>
      <xdr:rowOff>167640</xdr:rowOff>
    </xdr:to>
    <xdr:sp macro="" textlink="">
      <xdr:nvSpPr>
        <xdr:cNvPr id="7" name="Rounded Rectangle 6"/>
        <xdr:cNvSpPr/>
      </xdr:nvSpPr>
      <xdr:spPr>
        <a:xfrm>
          <a:off x="5494020" y="914400"/>
          <a:ext cx="1813560" cy="71628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AVERAGE ATTENDENCE</a:t>
          </a:r>
        </a:p>
        <a:p>
          <a:pPr algn="l"/>
          <a:endParaRPr lang="en-US" sz="1100" b="1" i="1" u="sng"/>
        </a:p>
        <a:p>
          <a:pPr algn="l"/>
          <a:r>
            <a:rPr lang="en-US" sz="1100" b="1" i="1" u="none"/>
            <a:t>                       </a:t>
          </a:r>
          <a:r>
            <a:rPr lang="en-US" sz="1100" b="1" i="1" u="sng"/>
            <a:t>78.95</a:t>
          </a:r>
        </a:p>
      </xdr:txBody>
    </xdr:sp>
    <xdr:clientData/>
  </xdr:twoCellAnchor>
  <xdr:twoCellAnchor>
    <xdr:from>
      <xdr:col>13</xdr:col>
      <xdr:colOff>0</xdr:colOff>
      <xdr:row>5</xdr:row>
      <xdr:rowOff>7620</xdr:rowOff>
    </xdr:from>
    <xdr:to>
      <xdr:col>15</xdr:col>
      <xdr:colOff>601980</xdr:colOff>
      <xdr:row>8</xdr:row>
      <xdr:rowOff>175260</xdr:rowOff>
    </xdr:to>
    <xdr:sp macro="" textlink="">
      <xdr:nvSpPr>
        <xdr:cNvPr id="8" name="Rounded Rectangle 7"/>
        <xdr:cNvSpPr/>
      </xdr:nvSpPr>
      <xdr:spPr>
        <a:xfrm>
          <a:off x="7924800" y="922020"/>
          <a:ext cx="1821180" cy="71628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HIGHEST MARKS</a:t>
          </a:r>
        </a:p>
        <a:p>
          <a:pPr algn="l"/>
          <a:endParaRPr lang="en-US" sz="1100" b="1" i="1" u="sng"/>
        </a:p>
        <a:p>
          <a:pPr algn="l"/>
          <a:r>
            <a:rPr lang="en-US" sz="1100" b="1" i="1" u="none" baseline="0"/>
            <a:t>                    </a:t>
          </a:r>
          <a:r>
            <a:rPr lang="en-US" sz="1100" b="1" i="1" u="sng" baseline="0"/>
            <a:t> 93</a:t>
          </a:r>
          <a:endParaRPr lang="en-US" sz="1100" b="1" i="1" u="sng"/>
        </a:p>
      </xdr:txBody>
    </xdr:sp>
    <xdr:clientData/>
  </xdr:twoCellAnchor>
  <xdr:twoCellAnchor>
    <xdr:from>
      <xdr:col>17</xdr:col>
      <xdr:colOff>0</xdr:colOff>
      <xdr:row>5</xdr:row>
      <xdr:rowOff>0</xdr:rowOff>
    </xdr:from>
    <xdr:to>
      <xdr:col>20</xdr:col>
      <xdr:colOff>0</xdr:colOff>
      <xdr:row>9</xdr:row>
      <xdr:rowOff>15240</xdr:rowOff>
    </xdr:to>
    <xdr:sp macro="" textlink="">
      <xdr:nvSpPr>
        <xdr:cNvPr id="9" name="Rounded Rectangle 8"/>
        <xdr:cNvSpPr/>
      </xdr:nvSpPr>
      <xdr:spPr>
        <a:xfrm>
          <a:off x="10363200" y="914400"/>
          <a:ext cx="1828800" cy="74676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LOWEST MARKS</a:t>
          </a:r>
        </a:p>
        <a:p>
          <a:pPr algn="l"/>
          <a:endParaRPr lang="en-US" sz="1100" b="1" i="1" u="sng"/>
        </a:p>
        <a:p>
          <a:pPr algn="l"/>
          <a:r>
            <a:rPr lang="en-US" sz="1100" b="1" i="1" u="none" baseline="0"/>
            <a:t>                       </a:t>
          </a:r>
          <a:r>
            <a:rPr lang="en-US" sz="1100" b="1" i="1" u="sng" baseline="0"/>
            <a:t> 54</a:t>
          </a:r>
          <a:endParaRPr lang="en-US" sz="1100" b="1" i="1" u="sng"/>
        </a:p>
      </xdr:txBody>
    </xdr:sp>
    <xdr:clientData/>
  </xdr:twoCellAnchor>
  <xdr:twoCellAnchor editAs="oneCell">
    <xdr:from>
      <xdr:col>1</xdr:col>
      <xdr:colOff>0</xdr:colOff>
      <xdr:row>18</xdr:row>
      <xdr:rowOff>0</xdr:rowOff>
    </xdr:from>
    <xdr:to>
      <xdr:col>4</xdr:col>
      <xdr:colOff>7620</xdr:colOff>
      <xdr:row>31</xdr:row>
      <xdr:rowOff>152400</xdr:rowOff>
    </xdr:to>
    <mc:AlternateContent xmlns:mc="http://schemas.openxmlformats.org/markup-compatibility/2006">
      <mc:Choice xmlns:a14="http://schemas.microsoft.com/office/drawing/2010/main" Requires="a14">
        <xdr:graphicFrame macro="">
          <xdr:nvGraphicFramePr>
            <xdr:cNvPr id="11" name="ATTENDENCE % 1"/>
            <xdr:cNvGraphicFramePr/>
          </xdr:nvGraphicFramePr>
          <xdr:xfrm>
            <a:off x="0" y="0"/>
            <a:ext cx="0" cy="0"/>
          </xdr:xfrm>
          <a:graphic>
            <a:graphicData uri="http://schemas.microsoft.com/office/drawing/2010/slicer">
              <sle:slicer xmlns:sle="http://schemas.microsoft.com/office/drawing/2010/slicer" name="ATTENDENCE % 1"/>
            </a:graphicData>
          </a:graphic>
        </xdr:graphicFrame>
      </mc:Choice>
      <mc:Fallback>
        <xdr:sp macro="" textlink="">
          <xdr:nvSpPr>
            <xdr:cNvPr id="0" name=""/>
            <xdr:cNvSpPr>
              <a:spLocks noTextEdit="1"/>
            </xdr:cNvSpPr>
          </xdr:nvSpPr>
          <xdr:spPr>
            <a:xfrm>
              <a:off x="609600" y="3436620"/>
              <a:ext cx="1836420" cy="252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18</xdr:row>
      <xdr:rowOff>0</xdr:rowOff>
    </xdr:from>
    <xdr:to>
      <xdr:col>12</xdr:col>
      <xdr:colOff>601980</xdr:colOff>
      <xdr:row>31</xdr:row>
      <xdr:rowOff>171450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18</xdr:row>
      <xdr:rowOff>0</xdr:rowOff>
    </xdr:from>
    <xdr:to>
      <xdr:col>22</xdr:col>
      <xdr:colOff>45720</xdr:colOff>
      <xdr:row>31</xdr:row>
      <xdr:rowOff>179070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43</xdr:row>
      <xdr:rowOff>0</xdr:rowOff>
    </xdr:from>
    <xdr:to>
      <xdr:col>4</xdr:col>
      <xdr:colOff>0</xdr:colOff>
      <xdr:row>56</xdr:row>
      <xdr:rowOff>89535</xdr:rowOff>
    </xdr:to>
    <mc:AlternateContent xmlns:mc="http://schemas.openxmlformats.org/markup-compatibility/2006">
      <mc:Choice xmlns:a14="http://schemas.microsoft.com/office/drawing/2010/main" Requires="a14">
        <xdr:graphicFrame macro="">
          <xdr:nvGraphicFramePr>
            <xdr:cNvPr id="14" name="COURSE 1"/>
            <xdr:cNvGraphicFramePr/>
          </xdr:nvGraphicFramePr>
          <xdr:xfrm>
            <a:off x="0" y="0"/>
            <a:ext cx="0" cy="0"/>
          </xdr:xfrm>
          <a:graphic>
            <a:graphicData uri="http://schemas.microsoft.com/office/drawing/2010/slicer">
              <sle:slicer xmlns:sle="http://schemas.microsoft.com/office/drawing/2010/slicer" name="COURSE 1"/>
            </a:graphicData>
          </a:graphic>
        </xdr:graphicFrame>
      </mc:Choice>
      <mc:Fallback>
        <xdr:sp macro="" textlink="">
          <xdr:nvSpPr>
            <xdr:cNvPr id="0" name=""/>
            <xdr:cNvSpPr>
              <a:spLocks noTextEdit="1"/>
            </xdr:cNvSpPr>
          </xdr:nvSpPr>
          <xdr:spPr>
            <a:xfrm>
              <a:off x="609600" y="8092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43</xdr:row>
      <xdr:rowOff>0</xdr:rowOff>
    </xdr:from>
    <xdr:to>
      <xdr:col>13</xdr:col>
      <xdr:colOff>106680</xdr:colOff>
      <xdr:row>57</xdr:row>
      <xdr:rowOff>7620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167640</xdr:colOff>
      <xdr:row>43</xdr:row>
      <xdr:rowOff>45720</xdr:rowOff>
    </xdr:from>
    <xdr:to>
      <xdr:col>21</xdr:col>
      <xdr:colOff>457200</xdr:colOff>
      <xdr:row>56</xdr:row>
      <xdr:rowOff>160020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3810</xdr:rowOff>
    </xdr:from>
    <xdr:to>
      <xdr:col>9</xdr:col>
      <xdr:colOff>601980</xdr:colOff>
      <xdr:row>15</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419100</xdr:colOff>
      <xdr:row>10</xdr:row>
      <xdr:rowOff>30480</xdr:rowOff>
    </xdr:from>
    <xdr:to>
      <xdr:col>2</xdr:col>
      <xdr:colOff>0</xdr:colOff>
      <xdr:row>24</xdr:row>
      <xdr:rowOff>0</xdr:rowOff>
    </xdr:to>
    <mc:AlternateContent xmlns:mc="http://schemas.openxmlformats.org/markup-compatibility/2006">
      <mc:Choice xmlns:a14="http://schemas.microsoft.com/office/drawing/2010/main" Requires="a14">
        <xdr:graphicFrame macro="">
          <xdr:nvGraphicFramePr>
            <xdr:cNvPr id="6" name="ATTENDENCE %"/>
            <xdr:cNvGraphicFramePr/>
          </xdr:nvGraphicFramePr>
          <xdr:xfrm>
            <a:off x="0" y="0"/>
            <a:ext cx="0" cy="0"/>
          </xdr:xfrm>
          <a:graphic>
            <a:graphicData uri="http://schemas.microsoft.com/office/drawing/2010/slicer">
              <sle:slicer xmlns:sle="http://schemas.microsoft.com/office/drawing/2010/slicer" name="ATTENDENCE %"/>
            </a:graphicData>
          </a:graphic>
        </xdr:graphicFrame>
      </mc:Choice>
      <mc:Fallback>
        <xdr:sp macro="" textlink="">
          <xdr:nvSpPr>
            <xdr:cNvPr id="0" name=""/>
            <xdr:cNvSpPr>
              <a:spLocks noTextEdit="1"/>
            </xdr:cNvSpPr>
          </xdr:nvSpPr>
          <xdr:spPr>
            <a:xfrm>
              <a:off x="419100" y="1859280"/>
              <a:ext cx="1836420" cy="2529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601980</xdr:colOff>
      <xdr:row>1</xdr:row>
      <xdr:rowOff>179070</xdr:rowOff>
    </xdr:from>
    <xdr:to>
      <xdr:col>17</xdr:col>
      <xdr:colOff>38100</xdr:colOff>
      <xdr:row>15</xdr:row>
      <xdr:rowOff>175260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426720</xdr:colOff>
      <xdr:row>9</xdr:row>
      <xdr:rowOff>7620</xdr:rowOff>
    </xdr:from>
    <xdr:to>
      <xdr:col>2</xdr:col>
      <xdr:colOff>0</xdr:colOff>
      <xdr:row>22</xdr:row>
      <xdr:rowOff>97155</xdr:rowOff>
    </xdr:to>
    <mc:AlternateContent xmlns:mc="http://schemas.openxmlformats.org/markup-compatibility/2006">
      <mc:Choice xmlns:a14="http://schemas.microsoft.com/office/drawing/2010/main" Requires="a14">
        <xdr:graphicFrame macro="">
          <xdr:nvGraphicFramePr>
            <xdr:cNvPr id="4" name="COURSE"/>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dr:sp macro="" textlink="">
          <xdr:nvSpPr>
            <xdr:cNvPr id="0" name=""/>
            <xdr:cNvSpPr>
              <a:spLocks noTextEdit="1"/>
            </xdr:cNvSpPr>
          </xdr:nvSpPr>
          <xdr:spPr>
            <a:xfrm>
              <a:off x="426720" y="165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746760</xdr:colOff>
      <xdr:row>1</xdr:row>
      <xdr:rowOff>118110</xdr:rowOff>
    </xdr:from>
    <xdr:to>
      <xdr:col>10</xdr:col>
      <xdr:colOff>769620</xdr:colOff>
      <xdr:row>16</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22860</xdr:colOff>
      <xdr:row>2</xdr:row>
      <xdr:rowOff>3810</xdr:rowOff>
    </xdr:from>
    <xdr:to>
      <xdr:col>19</xdr:col>
      <xdr:colOff>327660</xdr:colOff>
      <xdr:row>13</xdr:row>
      <xdr:rowOff>137160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15.642427199076" createdVersion="6" refreshedVersion="6" minRefreshableVersion="3" recordCount="151">
  <cacheSource type="worksheet">
    <worksheetSource name="Table1"/>
  </cacheSource>
  <cacheFields count="10">
    <cacheField name="STUDENT_ID" numFmtId="0">
      <sharedItems count="150">
        <s v="STU001"/>
        <s v="STU002"/>
        <s v="STU003"/>
        <s v="STU004"/>
        <s v="STU005"/>
        <s v="STU006"/>
        <s v="STU007"/>
        <s v="STU008"/>
        <s v="STU009"/>
        <s v="STU010"/>
        <s v="STU011"/>
        <s v="STU012"/>
        <s v="STU013"/>
        <s v="STU014"/>
        <s v="STU015"/>
        <s v="STU016"/>
        <s v="STU017"/>
        <s v="STU018"/>
        <s v="STU019"/>
        <s v="STU020"/>
        <s v="STU021"/>
        <s v="STU022"/>
        <s v="STU023"/>
        <s v="STU024"/>
        <s v="STU025"/>
        <s v="STU026"/>
        <s v="STU027"/>
        <s v="STU028"/>
        <s v="STU029"/>
        <s v="STU030"/>
        <s v="STU031"/>
        <s v="STU032"/>
        <s v="STU033"/>
        <s v="STU034"/>
        <s v="STU035"/>
        <s v="STU036"/>
        <s v="STU037"/>
        <s v="STU038"/>
        <s v="STU039"/>
        <s v="STU040"/>
        <s v="STU041"/>
        <s v="STU042"/>
        <s v="STU043"/>
        <s v="STU044"/>
        <s v="STU045"/>
        <s v="STU046"/>
        <s v="STU047"/>
        <s v="STU048"/>
        <s v="STU049"/>
        <s v="STU050"/>
        <s v="STU051"/>
        <s v="STU052"/>
        <s v="STU053"/>
        <s v="STU054"/>
        <s v="STU055"/>
        <s v="STU056"/>
        <s v="STU057"/>
        <s v="STU058"/>
        <s v="STU059"/>
        <s v="STU060"/>
        <s v="STU061"/>
        <s v="STU062"/>
        <s v="STU063"/>
        <s v="STU064"/>
        <s v="STU065"/>
        <s v="STU066"/>
        <s v="STU067"/>
        <s v="STU068"/>
        <s v="STU069"/>
        <s v="STU070"/>
        <s v="STU071"/>
        <s v="STU072"/>
        <s v="STU073"/>
        <s v="STU074"/>
        <s v="STU075"/>
        <s v="STU076"/>
        <s v="STU077"/>
        <s v="STU078"/>
        <s v="STU079"/>
        <s v="STU080"/>
        <s v="STU081"/>
        <s v="STU082"/>
        <s v="STU083"/>
        <s v="STU084"/>
        <s v="STU085"/>
        <s v="STU086"/>
        <s v="STU087"/>
        <s v="STU088"/>
        <s v="STU089"/>
        <s v="STU090"/>
        <s v="STU091"/>
        <s v="STU092"/>
        <s v="STU093"/>
        <s v="STU094"/>
        <s v="STU095"/>
        <s v="STU096"/>
        <s v="STU097"/>
        <s v="STU098"/>
        <s v="STU099"/>
        <s v="STU100"/>
        <s v="STU101"/>
        <s v="STU102"/>
        <s v="STU103"/>
        <s v="STU104"/>
        <s v="STU105"/>
        <s v="STU106"/>
        <s v="STU107"/>
        <s v="STU108"/>
        <s v="STU109"/>
        <s v="STU110"/>
        <s v="STU111"/>
        <s v="STU112"/>
        <s v="STU113"/>
        <s v="STU114"/>
        <s v="STU115"/>
        <s v="STU116"/>
        <s v="STU117"/>
        <s v="STU118"/>
        <s v="STU119"/>
        <s v="STU120"/>
        <s v="STU121"/>
        <s v="STU122"/>
        <s v="STU123"/>
        <s v="STU124"/>
        <s v="STU125"/>
        <s v="STU126"/>
        <s v="STU127"/>
        <s v="STU128"/>
        <s v="STU129"/>
        <s v="STU130"/>
        <s v="STU131"/>
        <s v="STU132"/>
        <s v="STU133"/>
        <s v="STU134"/>
        <s v="STU135"/>
        <s v="STU136"/>
        <s v="STU137"/>
        <s v="STU138"/>
        <s v="STU139"/>
        <s v="STU140"/>
        <s v="STU141"/>
        <s v="STU142"/>
        <s v="STU143"/>
        <s v="STU144"/>
        <s v="STU145"/>
        <s v="STU146"/>
        <s v="STU147"/>
        <s v="STU148"/>
        <s v="STU149"/>
        <s v="STU150"/>
      </sharedItems>
    </cacheField>
    <cacheField name="NAME" numFmtId="0">
      <sharedItems count="150">
        <s v="Aarav Mehta"/>
        <s v="Diya Patel"/>
        <s v="Rohan Shah"/>
        <s v="Priya Verma"/>
        <s v="Kunal Joshi"/>
        <s v="Ananya Rao"/>
        <s v="Vivaan Iyer"/>
        <s v="Isha Kapoor"/>
        <s v="Arjun Malhotra"/>
        <s v="Neha Singh"/>
        <s v="Siddharth Jain"/>
        <s v="Pooja Nair"/>
        <s v="Aditya Kulkarni"/>
        <s v="Kavya Bansal"/>
        <s v="Manish Gupta"/>
        <s v="Ritika Arora"/>
        <s v="Amit Tiwari"/>
        <s v="Sneha Patil"/>
        <s v="Rahul Choudhary"/>
        <s v="Meera Desai"/>
        <s v="Nikhil Soni"/>
        <s v="Palak Trivedi"/>
        <s v="Akash Rana"/>
        <s v="Tanvi Kulkarni"/>
        <s v="Mohit Aggarwal"/>
        <s v="Sonal Mishra"/>
        <s v="Harsh Vardhan"/>
        <s v="Riya Chatterjee"/>
        <s v="Varun Khanna"/>
        <s v="Nisha Pandey"/>
        <s v="Dev Arora"/>
        <s v="Simran Kaur"/>
        <s v="Yash Patel"/>
        <s v="Komal Joshi"/>
        <s v="Raj Malhotra"/>
        <s v="Ayesha Khan"/>
        <s v="Karan Singh"/>
        <s v="Payal Jain"/>
        <s v="Samar Roy"/>
        <s v="Heena Shaikh"/>
        <s v="Rohit Deshmukh"/>
        <s v="Pallavi Kulkarni"/>
        <s v="Ayush Verma"/>
        <s v="Shreya Das"/>
        <s v="Nitin Yadav"/>
        <s v="Renu Choudhary"/>
        <s v="Sachin Pawar"/>
        <s v="Mitali Ghosh"/>
        <s v="Deepak Rawat"/>
        <s v="Ankita Mishra"/>
        <s v="Rahul Jain"/>
        <s v="Priyanka Solanki"/>
        <s v="Nirav Patel"/>
        <s v="Komal Rathod"/>
        <s v="Harshit Sharma"/>
        <s v="Aditi Mishra"/>
        <s v="Prakash Yadav"/>
        <s v="Nandini Joshi"/>
        <s v="Mayank Verma"/>
        <s v="Rupal Shah"/>
        <s v="Aman Khan"/>
        <s v="Jinal Mehta"/>
        <s v="Rakesh Soni"/>
        <s v="Priya Saxena"/>
        <s v="Vikas Patel"/>
        <s v="Neelam Gupta"/>
        <s v="Suresh Parmar"/>
        <s v="Alisha Khan"/>
        <s v="Ajay Yadav"/>
        <s v="Krupa Patel"/>
        <s v="Pankaj Mishra"/>
        <s v="Nisha Chauhan"/>
        <s v="Sanjay Kumar"/>
        <s v="Ritu Malviya"/>
        <s v="Deep Patel"/>
        <s v="Shalini Pandey"/>
        <s v="Manoj Verma"/>
        <s v="Kajal Jain"/>
        <s v="Akshay Thakur"/>
        <s v="Preeti Yadav"/>
        <s v="Naveen Solanki"/>
        <s v="Isha Goyal"/>
        <s v="Rajesh Patel"/>
        <s v="Muskan Khan"/>
        <s v="Satish Kumar"/>
        <s v="Ritika Sen"/>
        <s v="Kishan Patel"/>
        <s v="Sonia Verma"/>
        <s v="Vinod Singh"/>
        <s v="Neha Joshi"/>
        <s v="Arvind Patel"/>
        <s v="Pooja Yadav"/>
        <s v="Mahesh Kumar"/>
        <s v="Komal Arora"/>
        <s v="Sunil Rathore"/>
        <s v="Rashmi Patel"/>
        <s v="Alok Mishra"/>
        <s v="Priyanka Das"/>
        <s v="Rohit Yadav"/>
        <s v="Anjali Singh"/>
        <s v="Rohit Verma"/>
        <s v="Priyanka Mishra"/>
        <s v="Ashish Kumar"/>
        <s v="Neetu Sharma"/>
        <s v="Sandeep Patel"/>
        <s v="Ritu Saxena"/>
        <s v="Vikas Yadav"/>
        <s v="Monika Jain"/>
        <s v="Amit Solanki"/>
        <s v="Poonam Gupta"/>
        <s v="Manoj Singh"/>
        <s v="Kajal Mehta"/>
        <s v="Nitin Choudhary"/>
        <s v="Rekha Yadav"/>
        <s v="Deepak Verma"/>
        <s v="Shruti Patel"/>
        <s v="Rajeev Kumar"/>
        <s v="Payal Sharma"/>
        <s v="Sunil Yadav"/>
        <s v="Ankita Joshi"/>
        <s v="Hemant Patel"/>
        <s v="Priyanshi Singh"/>
        <s v="Rakesh Mishra"/>
        <s v="Isha Shah"/>
        <s v="Kunal Thakur"/>
        <s v="Swati Verma"/>
        <s v="Ashok Yadav"/>
        <s v="Rimple Kaur"/>
        <s v="Piyush Jain"/>
        <s v="Sonal Trivedi"/>
        <s v="Vinay Kumar"/>
        <s v="Nikita Parmar"/>
        <s v="Sachin Yadav"/>
        <s v="Rashmi Gupta"/>
        <s v="Arun Singh"/>
        <s v="Komal Patel"/>
        <s v="Mohit Sharma"/>
        <s v="Prachi Jain"/>
        <s v="Dinesh Yadav"/>
        <s v="Tina Shah"/>
        <s v="Rajiv Kumar"/>
        <s v="Shweta Mishra"/>
        <s v="Pankaj Singh"/>
        <s v="Aarti Joshi"/>
        <s v="Sumit Patel"/>
        <s v="Priya Soni"/>
        <s v="Ram Kumar"/>
        <s v="Nisha Agarwal"/>
        <s v="Vikas Chauhan"/>
        <s v="Anju Sharma"/>
      </sharedItems>
    </cacheField>
    <cacheField name="GENDER" numFmtId="0">
      <sharedItems count="2">
        <s v="Male"/>
        <s v="Female"/>
      </sharedItems>
    </cacheField>
    <cacheField name="COURSE" numFmtId="0">
      <sharedItems count="4">
        <s v="BCA"/>
        <s v="BSc IT"/>
        <s v="BCom"/>
        <s v="BBA"/>
      </sharedItems>
    </cacheField>
    <cacheField name="SEMESTER" numFmtId="0">
      <sharedItems containsSemiMixedTypes="0" containsString="0" containsNumber="1" containsInteger="1" minValue="1" maxValue="6"/>
    </cacheField>
    <cacheField name="CITY" numFmtId="0">
      <sharedItems count="134">
        <s v="Ahmedabad"/>
        <s v="Surat"/>
        <s v="Vadodara"/>
        <s v="Jaipur"/>
        <s v="Pune"/>
        <s v="Bangalore"/>
        <s v="Chennai"/>
        <s v="Delhi"/>
        <s v="Noida"/>
        <s v="Lucknow"/>
        <s v="Indore"/>
        <s v="Kochi"/>
        <s v="Nagpur"/>
        <s v="Chandigarh"/>
        <s v="Kanpur"/>
        <s v="Gurgaon"/>
        <s v="Prayagraj"/>
        <s v="Nashik"/>
        <s v="Bhopal"/>
        <s v="Vapi"/>
        <s v="Udaipur"/>
        <s v="Rajkot"/>
        <s v="Dehradun"/>
        <s v="Kolhapur"/>
        <s v="Faridabad"/>
        <s v="Raipur"/>
        <s v="Patna"/>
        <s v="Kolkata"/>
        <s v="Amritsar"/>
        <s v="Gwalior"/>
        <s v="Agra"/>
        <s v="Ludhiana"/>
        <s v="Anand"/>
        <s v="Bhavnagar"/>
        <s v="Panipat"/>
        <s v="Meerut"/>
        <s v="Ujjain"/>
        <s v="Durgapur"/>
        <s v="Mumbai"/>
        <s v="Aurangabad"/>
        <s v="Satara"/>
        <s v="Rewa"/>
        <s v="Siliguri"/>
        <s v="Alwar"/>
        <s v="Jodhpur"/>
        <s v="Solapur"/>
        <s v="Howrah"/>
        <s v="Rishikesh"/>
        <s v="Satna"/>
        <s v="Neemuch"/>
        <s v="Dewas"/>
        <s v="Ankleshwar"/>
        <s v="Botad"/>
        <s v="Hisar"/>
        <s v="Azamgarh"/>
        <s v="Shahdol"/>
        <s v="Godhra"/>
        <s v="Bareilly"/>
        <s v="Navsari"/>
        <s v="Churu"/>
        <s v="Firozabad"/>
        <s v="Bharuch"/>
        <s v="Etawah"/>
        <s v="Modasa"/>
        <s v="Rampur"/>
        <s v="Ballia"/>
        <s v="Bardoli"/>
        <s v="Sidhi"/>
        <s v="Dahod"/>
        <s v="Motihari"/>
        <s v="Sehore"/>
        <s v="Unjha"/>
        <s v="Mirzapur"/>
        <s v="Chandauli"/>
        <s v="Mandsaur"/>
        <s v="Hamirpur"/>
        <s v="Mau"/>
        <s v="Jhalawar"/>
        <s v="Sirsa"/>
        <s v="Kalol"/>
        <s v="Baran"/>
        <s v="Siwan"/>
        <s v="Asansol"/>
        <s v="Visnagar"/>
        <s v="Hardoi"/>
        <s v="Chhapra"/>
        <s v="Bhilwara"/>
        <s v="Kadi"/>
        <s v="Basti"/>
        <s v="Samastipur"/>
        <s v="Ratlam"/>
        <s v="Valsad"/>
        <s v="Chitrakoot"/>
        <s v="Dhanbad"/>
        <s v="Etah"/>
        <s v="Faizabad"/>
        <s v="Mathura"/>
        <s v="Sultanpur"/>
        <s v="Ara"/>
        <s v="Bhiwani"/>
        <s v="Nadiad"/>
        <s v="Mainpuri"/>
        <s v="Ghazipur"/>
        <s v="Tonk"/>
        <s v="Lunawada"/>
        <s v="Fatehpur"/>
        <s v="Buxar"/>
        <s v="Palanpur"/>
        <s v="Sikar"/>
        <s v="Balaghat"/>
        <s v="Madhubani"/>
        <s v="Sawai Madhopur"/>
        <s v="Bhadohi"/>
        <s v="Chittorgarh"/>
        <s v="Reoti"/>
        <s v="Mandi"/>
        <s v="Chakia"/>
        <s v="Bathinda"/>
        <s v="Merta"/>
        <s v="Patan"/>
        <s v="Gopalganj"/>
        <s v="Jaunpur"/>
        <s v="Orai"/>
        <s v="Mehsana"/>
        <s v="Rewari"/>
        <s v="Nagaur"/>
        <s v="Saharsa"/>
        <s v="Banswara"/>
        <s v="Dabhoi"/>
        <s v="Sirohi"/>
        <s v="Arrah"/>
        <s v="Kota"/>
        <s v="Una"/>
        <s v="Jhunjhunu"/>
      </sharedItems>
    </cacheField>
    <cacheField name="ATTENDENCE %" numFmtId="0">
      <sharedItems containsSemiMixedTypes="0" containsString="0" containsNumber="1" containsInteger="1" minValue="62" maxValue="95" count="34">
        <n v="92"/>
        <n v="88"/>
        <n v="75"/>
        <n v="69"/>
        <n v="81"/>
        <n v="95"/>
        <n v="66"/>
        <n v="84"/>
        <n v="78"/>
        <n v="71"/>
        <n v="90"/>
        <n v="86"/>
        <n v="68"/>
        <n v="74"/>
        <n v="63"/>
        <n v="89"/>
        <n v="77"/>
        <n v="82"/>
        <n v="67"/>
        <n v="91"/>
        <n v="73"/>
        <n v="85"/>
        <n v="79"/>
        <n v="64"/>
        <n v="70"/>
        <n v="76"/>
        <n v="93"/>
        <n v="62"/>
        <n v="87"/>
        <n v="80"/>
        <n v="72"/>
        <n v="83"/>
        <n v="65"/>
        <n v="94"/>
      </sharedItems>
    </cacheField>
    <cacheField name="INTERNAL_MARKS" numFmtId="0">
      <sharedItems containsSemiMixedTypes="0" containsString="0" containsNumber="1" containsInteger="1" minValue="13" maxValue="25"/>
    </cacheField>
    <cacheField name="EXTERNAL_MARKS" numFmtId="0">
      <sharedItems containsSemiMixedTypes="0" containsString="0" containsNumber="1" containsInteger="1" minValue="39" maxValue="69"/>
    </cacheField>
    <cacheField name="TOTAL_MARKS" numFmtId="0">
      <sharedItems containsSemiMixedTypes="0" containsString="0" containsNumber="1" containsInteger="1" minValue="52" maxValue="9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1">
  <r>
    <x v="0"/>
    <x v="0"/>
    <x v="0"/>
    <x v="0"/>
    <n v="1"/>
    <x v="0"/>
    <x v="0"/>
    <n v="24"/>
    <n v="65"/>
    <n v="78"/>
  </r>
  <r>
    <x v="1"/>
    <x v="1"/>
    <x v="1"/>
    <x v="1"/>
    <n v="2"/>
    <x v="1"/>
    <x v="1"/>
    <n v="22"/>
    <n v="61"/>
    <n v="83"/>
  </r>
  <r>
    <x v="2"/>
    <x v="2"/>
    <x v="0"/>
    <x v="2"/>
    <n v="3"/>
    <x v="2"/>
    <x v="2"/>
    <n v="18"/>
    <n v="54"/>
    <n v="72"/>
  </r>
  <r>
    <x v="3"/>
    <x v="3"/>
    <x v="1"/>
    <x v="0"/>
    <n v="4"/>
    <x v="3"/>
    <x v="3"/>
    <n v="16"/>
    <n v="48"/>
    <n v="64"/>
  </r>
  <r>
    <x v="4"/>
    <x v="4"/>
    <x v="0"/>
    <x v="3"/>
    <n v="1"/>
    <x v="4"/>
    <x v="4"/>
    <n v="20"/>
    <n v="57"/>
    <n v="77"/>
  </r>
  <r>
    <x v="5"/>
    <x v="5"/>
    <x v="1"/>
    <x v="1"/>
    <n v="5"/>
    <x v="5"/>
    <x v="5"/>
    <n v="25"/>
    <n v="68"/>
    <n v="93"/>
  </r>
  <r>
    <x v="6"/>
    <x v="6"/>
    <x v="0"/>
    <x v="0"/>
    <n v="6"/>
    <x v="6"/>
    <x v="6"/>
    <n v="15"/>
    <n v="42"/>
    <n v="57"/>
  </r>
  <r>
    <x v="7"/>
    <x v="7"/>
    <x v="1"/>
    <x v="2"/>
    <n v="2"/>
    <x v="7"/>
    <x v="7"/>
    <n v="21"/>
    <n v="59"/>
    <n v="80"/>
  </r>
  <r>
    <x v="8"/>
    <x v="8"/>
    <x v="0"/>
    <x v="3"/>
    <n v="3"/>
    <x v="8"/>
    <x v="8"/>
    <n v="19"/>
    <n v="55"/>
    <n v="74"/>
  </r>
  <r>
    <x v="9"/>
    <x v="9"/>
    <x v="1"/>
    <x v="0"/>
    <n v="4"/>
    <x v="9"/>
    <x v="9"/>
    <n v="17"/>
    <n v="49"/>
    <n v="66"/>
  </r>
  <r>
    <x v="10"/>
    <x v="10"/>
    <x v="0"/>
    <x v="1"/>
    <n v="1"/>
    <x v="10"/>
    <x v="10"/>
    <n v="23"/>
    <n v="64"/>
    <n v="87"/>
  </r>
  <r>
    <x v="11"/>
    <x v="11"/>
    <x v="1"/>
    <x v="2"/>
    <n v="5"/>
    <x v="11"/>
    <x v="11"/>
    <n v="22"/>
    <n v="60"/>
    <n v="82"/>
  </r>
  <r>
    <x v="12"/>
    <x v="12"/>
    <x v="0"/>
    <x v="3"/>
    <n v="6"/>
    <x v="12"/>
    <x v="12"/>
    <n v="16"/>
    <n v="45"/>
    <n v="61"/>
  </r>
  <r>
    <x v="13"/>
    <x v="13"/>
    <x v="1"/>
    <x v="0"/>
    <n v="2"/>
    <x v="13"/>
    <x v="13"/>
    <n v="18"/>
    <n v="52"/>
    <n v="70"/>
  </r>
  <r>
    <x v="14"/>
    <x v="14"/>
    <x v="0"/>
    <x v="1"/>
    <n v="3"/>
    <x v="14"/>
    <x v="14"/>
    <n v="14"/>
    <n v="40"/>
    <n v="54"/>
  </r>
  <r>
    <x v="15"/>
    <x v="15"/>
    <x v="1"/>
    <x v="3"/>
    <n v="4"/>
    <x v="15"/>
    <x v="15"/>
    <n v="23"/>
    <n v="63"/>
    <n v="86"/>
  </r>
  <r>
    <x v="16"/>
    <x v="16"/>
    <x v="0"/>
    <x v="0"/>
    <n v="5"/>
    <x v="16"/>
    <x v="16"/>
    <n v="19"/>
    <n v="56"/>
    <n v="75"/>
  </r>
  <r>
    <x v="17"/>
    <x v="17"/>
    <x v="1"/>
    <x v="2"/>
    <n v="6"/>
    <x v="17"/>
    <x v="17"/>
    <n v="21"/>
    <n v="58"/>
    <n v="79"/>
  </r>
  <r>
    <x v="18"/>
    <x v="18"/>
    <x v="0"/>
    <x v="1"/>
    <n v="2"/>
    <x v="18"/>
    <x v="18"/>
    <n v="15"/>
    <n v="44"/>
    <n v="59"/>
  </r>
  <r>
    <x v="19"/>
    <x v="19"/>
    <x v="1"/>
    <x v="3"/>
    <n v="3"/>
    <x v="19"/>
    <x v="19"/>
    <n v="24"/>
    <n v="66"/>
    <n v="90"/>
  </r>
  <r>
    <x v="20"/>
    <x v="20"/>
    <x v="0"/>
    <x v="0"/>
    <n v="4"/>
    <x v="20"/>
    <x v="20"/>
    <n v="18"/>
    <n v="51"/>
    <n v="69"/>
  </r>
  <r>
    <x v="21"/>
    <x v="21"/>
    <x v="1"/>
    <x v="2"/>
    <n v="1"/>
    <x v="21"/>
    <x v="21"/>
    <n v="22"/>
    <n v="60"/>
    <n v="82"/>
  </r>
  <r>
    <x v="22"/>
    <x v="22"/>
    <x v="0"/>
    <x v="1"/>
    <n v="5"/>
    <x v="22"/>
    <x v="22"/>
    <n v="20"/>
    <n v="57"/>
    <n v="77"/>
  </r>
  <r>
    <x v="23"/>
    <x v="23"/>
    <x v="1"/>
    <x v="3"/>
    <n v="6"/>
    <x v="23"/>
    <x v="23"/>
    <n v="14"/>
    <n v="41"/>
    <n v="55"/>
  </r>
  <r>
    <x v="24"/>
    <x v="24"/>
    <x v="0"/>
    <x v="0"/>
    <n v="2"/>
    <x v="24"/>
    <x v="1"/>
    <n v="23"/>
    <n v="62"/>
    <n v="85"/>
  </r>
  <r>
    <x v="25"/>
    <x v="25"/>
    <x v="1"/>
    <x v="2"/>
    <n v="3"/>
    <x v="25"/>
    <x v="24"/>
    <n v="17"/>
    <n v="50"/>
    <n v="67"/>
  </r>
  <r>
    <x v="26"/>
    <x v="26"/>
    <x v="0"/>
    <x v="1"/>
    <n v="4"/>
    <x v="26"/>
    <x v="25"/>
    <n v="19"/>
    <n v="54"/>
    <n v="73"/>
  </r>
  <r>
    <x v="27"/>
    <x v="27"/>
    <x v="1"/>
    <x v="3"/>
    <n v="5"/>
    <x v="27"/>
    <x v="26"/>
    <n v="25"/>
    <n v="69"/>
    <n v="94"/>
  </r>
  <r>
    <x v="28"/>
    <x v="28"/>
    <x v="0"/>
    <x v="0"/>
    <n v="6"/>
    <x v="28"/>
    <x v="27"/>
    <n v="13"/>
    <n v="39"/>
    <n v="52"/>
  </r>
  <r>
    <x v="29"/>
    <x v="29"/>
    <x v="1"/>
    <x v="2"/>
    <n v="2"/>
    <x v="29"/>
    <x v="28"/>
    <n v="22"/>
    <n v="61"/>
    <n v="83"/>
  </r>
  <r>
    <x v="30"/>
    <x v="30"/>
    <x v="0"/>
    <x v="0"/>
    <n v="1"/>
    <x v="30"/>
    <x v="29"/>
    <n v="20"/>
    <n v="56"/>
    <n v="76"/>
  </r>
  <r>
    <x v="31"/>
    <x v="31"/>
    <x v="1"/>
    <x v="1"/>
    <n v="2"/>
    <x v="31"/>
    <x v="30"/>
    <n v="18"/>
    <n v="50"/>
    <n v="68"/>
  </r>
  <r>
    <x v="32"/>
    <x v="32"/>
    <x v="0"/>
    <x v="3"/>
    <n v="3"/>
    <x v="32"/>
    <x v="31"/>
    <n v="21"/>
    <n v="58"/>
    <n v="79"/>
  </r>
  <r>
    <x v="33"/>
    <x v="33"/>
    <x v="1"/>
    <x v="2"/>
    <n v="4"/>
    <x v="33"/>
    <x v="32"/>
    <n v="15"/>
    <n v="43"/>
    <n v="58"/>
  </r>
  <r>
    <x v="34"/>
    <x v="34"/>
    <x v="0"/>
    <x v="0"/>
    <n v="5"/>
    <x v="34"/>
    <x v="10"/>
    <n v="24"/>
    <n v="65"/>
    <n v="89"/>
  </r>
  <r>
    <x v="35"/>
    <x v="35"/>
    <x v="1"/>
    <x v="1"/>
    <n v="6"/>
    <x v="18"/>
    <x v="8"/>
    <n v="19"/>
    <n v="55"/>
    <n v="74"/>
  </r>
  <r>
    <x v="36"/>
    <x v="36"/>
    <x v="0"/>
    <x v="3"/>
    <n v="1"/>
    <x v="35"/>
    <x v="3"/>
    <n v="16"/>
    <n v="47"/>
    <n v="63"/>
  </r>
  <r>
    <x v="37"/>
    <x v="37"/>
    <x v="1"/>
    <x v="2"/>
    <n v="2"/>
    <x v="36"/>
    <x v="7"/>
    <n v="21"/>
    <n v="59"/>
    <n v="80"/>
  </r>
  <r>
    <x v="38"/>
    <x v="38"/>
    <x v="0"/>
    <x v="0"/>
    <n v="3"/>
    <x v="37"/>
    <x v="9"/>
    <n v="17"/>
    <n v="49"/>
    <n v="66"/>
  </r>
  <r>
    <x v="39"/>
    <x v="39"/>
    <x v="1"/>
    <x v="1"/>
    <n v="4"/>
    <x v="38"/>
    <x v="0"/>
    <n v="24"/>
    <n v="67"/>
    <n v="91"/>
  </r>
  <r>
    <x v="40"/>
    <x v="40"/>
    <x v="0"/>
    <x v="3"/>
    <n v="5"/>
    <x v="39"/>
    <x v="6"/>
    <n v="15"/>
    <n v="44"/>
    <n v="59"/>
  </r>
  <r>
    <x v="41"/>
    <x v="41"/>
    <x v="1"/>
    <x v="2"/>
    <n v="6"/>
    <x v="40"/>
    <x v="1"/>
    <n v="22"/>
    <n v="62"/>
    <n v="84"/>
  </r>
  <r>
    <x v="42"/>
    <x v="42"/>
    <x v="0"/>
    <x v="0"/>
    <n v="2"/>
    <x v="41"/>
    <x v="13"/>
    <n v="18"/>
    <n v="52"/>
    <n v="70"/>
  </r>
  <r>
    <x v="43"/>
    <x v="43"/>
    <x v="1"/>
    <x v="1"/>
    <n v="3"/>
    <x v="42"/>
    <x v="4"/>
    <n v="20"/>
    <n v="57"/>
    <n v="77"/>
  </r>
  <r>
    <x v="44"/>
    <x v="44"/>
    <x v="0"/>
    <x v="3"/>
    <n v="4"/>
    <x v="43"/>
    <x v="14"/>
    <n v="14"/>
    <n v="41"/>
    <n v="55"/>
  </r>
  <r>
    <x v="45"/>
    <x v="45"/>
    <x v="1"/>
    <x v="2"/>
    <n v="5"/>
    <x v="44"/>
    <x v="11"/>
    <n v="22"/>
    <n v="60"/>
    <n v="82"/>
  </r>
  <r>
    <x v="46"/>
    <x v="46"/>
    <x v="0"/>
    <x v="0"/>
    <n v="6"/>
    <x v="45"/>
    <x v="22"/>
    <n v="20"/>
    <n v="56"/>
    <n v="76"/>
  </r>
  <r>
    <x v="47"/>
    <x v="47"/>
    <x v="1"/>
    <x v="1"/>
    <n v="1"/>
    <x v="46"/>
    <x v="19"/>
    <n v="24"/>
    <n v="66"/>
    <n v="90"/>
  </r>
  <r>
    <x v="48"/>
    <x v="48"/>
    <x v="0"/>
    <x v="3"/>
    <n v="2"/>
    <x v="47"/>
    <x v="24"/>
    <n v="17"/>
    <n v="50"/>
    <n v="67"/>
  </r>
  <r>
    <x v="49"/>
    <x v="49"/>
    <x v="1"/>
    <x v="2"/>
    <n v="3"/>
    <x v="48"/>
    <x v="21"/>
    <n v="22"/>
    <n v="61"/>
    <n v="83"/>
  </r>
  <r>
    <x v="50"/>
    <x v="50"/>
    <x v="0"/>
    <x v="0"/>
    <n v="4"/>
    <x v="49"/>
    <x v="8"/>
    <n v="19"/>
    <n v="55"/>
    <n v="74"/>
  </r>
  <r>
    <x v="51"/>
    <x v="51"/>
    <x v="1"/>
    <x v="1"/>
    <n v="5"/>
    <x v="50"/>
    <x v="17"/>
    <n v="21"/>
    <n v="58"/>
    <n v="79"/>
  </r>
  <r>
    <x v="52"/>
    <x v="52"/>
    <x v="0"/>
    <x v="2"/>
    <n v="6"/>
    <x v="51"/>
    <x v="18"/>
    <n v="15"/>
    <n v="44"/>
    <n v="59"/>
  </r>
  <r>
    <x v="53"/>
    <x v="53"/>
    <x v="1"/>
    <x v="3"/>
    <n v="1"/>
    <x v="52"/>
    <x v="1"/>
    <n v="22"/>
    <n v="62"/>
    <n v="84"/>
  </r>
  <r>
    <x v="54"/>
    <x v="54"/>
    <x v="0"/>
    <x v="0"/>
    <n v="2"/>
    <x v="53"/>
    <x v="20"/>
    <n v="18"/>
    <n v="51"/>
    <n v="69"/>
  </r>
  <r>
    <x v="55"/>
    <x v="55"/>
    <x v="1"/>
    <x v="1"/>
    <n v="3"/>
    <x v="41"/>
    <x v="10"/>
    <n v="24"/>
    <n v="65"/>
    <n v="89"/>
  </r>
  <r>
    <x v="56"/>
    <x v="56"/>
    <x v="0"/>
    <x v="2"/>
    <n v="4"/>
    <x v="54"/>
    <x v="23"/>
    <n v="14"/>
    <n v="41"/>
    <n v="55"/>
  </r>
  <r>
    <x v="57"/>
    <x v="57"/>
    <x v="1"/>
    <x v="3"/>
    <n v="5"/>
    <x v="22"/>
    <x v="21"/>
    <n v="22"/>
    <n v="60"/>
    <n v="82"/>
  </r>
  <r>
    <x v="58"/>
    <x v="58"/>
    <x v="0"/>
    <x v="0"/>
    <n v="6"/>
    <x v="55"/>
    <x v="9"/>
    <n v="17"/>
    <n v="49"/>
    <n v="66"/>
  </r>
  <r>
    <x v="59"/>
    <x v="59"/>
    <x v="1"/>
    <x v="1"/>
    <n v="1"/>
    <x v="56"/>
    <x v="26"/>
    <n v="25"/>
    <n v="69"/>
    <n v="94"/>
  </r>
  <r>
    <x v="60"/>
    <x v="60"/>
    <x v="0"/>
    <x v="2"/>
    <n v="2"/>
    <x v="57"/>
    <x v="3"/>
    <n v="16"/>
    <n v="47"/>
    <n v="63"/>
  </r>
  <r>
    <x v="61"/>
    <x v="61"/>
    <x v="1"/>
    <x v="3"/>
    <n v="3"/>
    <x v="58"/>
    <x v="28"/>
    <n v="22"/>
    <n v="61"/>
    <n v="83"/>
  </r>
  <r>
    <x v="62"/>
    <x v="62"/>
    <x v="0"/>
    <x v="0"/>
    <n v="4"/>
    <x v="59"/>
    <x v="2"/>
    <n v="18"/>
    <n v="54"/>
    <n v="72"/>
  </r>
  <r>
    <x v="63"/>
    <x v="63"/>
    <x v="1"/>
    <x v="1"/>
    <n v="5"/>
    <x v="60"/>
    <x v="4"/>
    <n v="20"/>
    <n v="57"/>
    <n v="77"/>
  </r>
  <r>
    <x v="64"/>
    <x v="64"/>
    <x v="0"/>
    <x v="2"/>
    <n v="6"/>
    <x v="61"/>
    <x v="6"/>
    <n v="15"/>
    <n v="44"/>
    <n v="59"/>
  </r>
  <r>
    <x v="65"/>
    <x v="65"/>
    <x v="1"/>
    <x v="3"/>
    <n v="1"/>
    <x v="62"/>
    <x v="10"/>
    <n v="24"/>
    <n v="65"/>
    <n v="89"/>
  </r>
  <r>
    <x v="66"/>
    <x v="66"/>
    <x v="0"/>
    <x v="0"/>
    <n v="2"/>
    <x v="63"/>
    <x v="30"/>
    <n v="18"/>
    <n v="50"/>
    <n v="68"/>
  </r>
  <r>
    <x v="67"/>
    <x v="67"/>
    <x v="1"/>
    <x v="1"/>
    <n v="3"/>
    <x v="64"/>
    <x v="7"/>
    <n v="21"/>
    <n v="59"/>
    <n v="80"/>
  </r>
  <r>
    <x v="68"/>
    <x v="68"/>
    <x v="0"/>
    <x v="2"/>
    <n v="4"/>
    <x v="65"/>
    <x v="14"/>
    <n v="14"/>
    <n v="41"/>
    <n v="55"/>
  </r>
  <r>
    <x v="69"/>
    <x v="69"/>
    <x v="1"/>
    <x v="3"/>
    <n v="5"/>
    <x v="66"/>
    <x v="19"/>
    <n v="24"/>
    <n v="66"/>
    <n v="90"/>
  </r>
  <r>
    <x v="70"/>
    <x v="70"/>
    <x v="0"/>
    <x v="0"/>
    <n v="6"/>
    <x v="67"/>
    <x v="24"/>
    <n v="17"/>
    <n v="50"/>
    <n v="67"/>
  </r>
  <r>
    <x v="71"/>
    <x v="71"/>
    <x v="1"/>
    <x v="1"/>
    <n v="1"/>
    <x v="68"/>
    <x v="11"/>
    <n v="22"/>
    <n v="60"/>
    <n v="82"/>
  </r>
  <r>
    <x v="72"/>
    <x v="72"/>
    <x v="0"/>
    <x v="2"/>
    <n v="2"/>
    <x v="69"/>
    <x v="12"/>
    <n v="16"/>
    <n v="45"/>
    <n v="61"/>
  </r>
  <r>
    <x v="73"/>
    <x v="73"/>
    <x v="1"/>
    <x v="3"/>
    <n v="3"/>
    <x v="70"/>
    <x v="15"/>
    <n v="23"/>
    <n v="63"/>
    <n v="86"/>
  </r>
  <r>
    <x v="74"/>
    <x v="74"/>
    <x v="0"/>
    <x v="0"/>
    <n v="4"/>
    <x v="71"/>
    <x v="13"/>
    <n v="18"/>
    <n v="52"/>
    <n v="70"/>
  </r>
  <r>
    <x v="75"/>
    <x v="75"/>
    <x v="1"/>
    <x v="1"/>
    <n v="5"/>
    <x v="72"/>
    <x v="29"/>
    <n v="20"/>
    <n v="56"/>
    <n v="76"/>
  </r>
  <r>
    <x v="76"/>
    <x v="76"/>
    <x v="0"/>
    <x v="2"/>
    <n v="6"/>
    <x v="73"/>
    <x v="32"/>
    <n v="15"/>
    <n v="43"/>
    <n v="58"/>
  </r>
  <r>
    <x v="77"/>
    <x v="77"/>
    <x v="1"/>
    <x v="3"/>
    <n v="1"/>
    <x v="74"/>
    <x v="0"/>
    <n v="24"/>
    <n v="67"/>
    <n v="91"/>
  </r>
  <r>
    <x v="78"/>
    <x v="78"/>
    <x v="0"/>
    <x v="0"/>
    <n v="2"/>
    <x v="75"/>
    <x v="16"/>
    <n v="19"/>
    <n v="56"/>
    <n v="75"/>
  </r>
  <r>
    <x v="79"/>
    <x v="79"/>
    <x v="1"/>
    <x v="1"/>
    <n v="3"/>
    <x v="76"/>
    <x v="21"/>
    <n v="22"/>
    <n v="61"/>
    <n v="83"/>
  </r>
  <r>
    <x v="80"/>
    <x v="80"/>
    <x v="0"/>
    <x v="2"/>
    <n v="4"/>
    <x v="77"/>
    <x v="3"/>
    <n v="16"/>
    <n v="47"/>
    <n v="63"/>
  </r>
  <r>
    <x v="81"/>
    <x v="81"/>
    <x v="1"/>
    <x v="3"/>
    <n v="5"/>
    <x v="78"/>
    <x v="10"/>
    <n v="24"/>
    <n v="65"/>
    <n v="89"/>
  </r>
  <r>
    <x v="82"/>
    <x v="82"/>
    <x v="0"/>
    <x v="0"/>
    <n v="6"/>
    <x v="79"/>
    <x v="20"/>
    <n v="18"/>
    <n v="51"/>
    <n v="69"/>
  </r>
  <r>
    <x v="83"/>
    <x v="83"/>
    <x v="1"/>
    <x v="1"/>
    <n v="1"/>
    <x v="80"/>
    <x v="1"/>
    <n v="22"/>
    <n v="62"/>
    <n v="84"/>
  </r>
  <r>
    <x v="84"/>
    <x v="84"/>
    <x v="0"/>
    <x v="2"/>
    <n v="2"/>
    <x v="81"/>
    <x v="23"/>
    <n v="14"/>
    <n v="41"/>
    <n v="55"/>
  </r>
  <r>
    <x v="85"/>
    <x v="85"/>
    <x v="1"/>
    <x v="3"/>
    <n v="3"/>
    <x v="82"/>
    <x v="19"/>
    <n v="24"/>
    <n v="66"/>
    <n v="90"/>
  </r>
  <r>
    <x v="86"/>
    <x v="86"/>
    <x v="0"/>
    <x v="0"/>
    <n v="4"/>
    <x v="83"/>
    <x v="25"/>
    <n v="19"/>
    <n v="54"/>
    <n v="73"/>
  </r>
  <r>
    <x v="87"/>
    <x v="87"/>
    <x v="1"/>
    <x v="1"/>
    <n v="5"/>
    <x v="84"/>
    <x v="31"/>
    <n v="21"/>
    <n v="58"/>
    <n v="79"/>
  </r>
  <r>
    <x v="88"/>
    <x v="88"/>
    <x v="0"/>
    <x v="2"/>
    <n v="6"/>
    <x v="85"/>
    <x v="18"/>
    <n v="15"/>
    <n v="44"/>
    <n v="59"/>
  </r>
  <r>
    <x v="89"/>
    <x v="89"/>
    <x v="1"/>
    <x v="3"/>
    <n v="1"/>
    <x v="86"/>
    <x v="33"/>
    <n v="25"/>
    <n v="69"/>
    <n v="94"/>
  </r>
  <r>
    <x v="90"/>
    <x v="90"/>
    <x v="0"/>
    <x v="0"/>
    <n v="2"/>
    <x v="87"/>
    <x v="30"/>
    <n v="18"/>
    <n v="50"/>
    <n v="68"/>
  </r>
  <r>
    <x v="91"/>
    <x v="91"/>
    <x v="1"/>
    <x v="1"/>
    <n v="3"/>
    <x v="88"/>
    <x v="11"/>
    <n v="22"/>
    <n v="60"/>
    <n v="82"/>
  </r>
  <r>
    <x v="92"/>
    <x v="92"/>
    <x v="0"/>
    <x v="2"/>
    <n v="4"/>
    <x v="89"/>
    <x v="14"/>
    <n v="14"/>
    <n v="41"/>
    <n v="55"/>
  </r>
  <r>
    <x v="93"/>
    <x v="93"/>
    <x v="1"/>
    <x v="3"/>
    <n v="5"/>
    <x v="34"/>
    <x v="10"/>
    <n v="24"/>
    <n v="65"/>
    <n v="89"/>
  </r>
  <r>
    <x v="94"/>
    <x v="94"/>
    <x v="0"/>
    <x v="0"/>
    <n v="6"/>
    <x v="90"/>
    <x v="9"/>
    <n v="17"/>
    <n v="49"/>
    <n v="66"/>
  </r>
  <r>
    <x v="95"/>
    <x v="95"/>
    <x v="1"/>
    <x v="1"/>
    <n v="1"/>
    <x v="91"/>
    <x v="1"/>
    <n v="22"/>
    <n v="62"/>
    <n v="84"/>
  </r>
  <r>
    <x v="96"/>
    <x v="96"/>
    <x v="0"/>
    <x v="2"/>
    <n v="2"/>
    <x v="92"/>
    <x v="6"/>
    <n v="15"/>
    <n v="44"/>
    <n v="59"/>
  </r>
  <r>
    <x v="97"/>
    <x v="97"/>
    <x v="1"/>
    <x v="3"/>
    <n v="3"/>
    <x v="93"/>
    <x v="0"/>
    <n v="24"/>
    <n v="67"/>
    <n v="91"/>
  </r>
  <r>
    <x v="98"/>
    <x v="98"/>
    <x v="0"/>
    <x v="0"/>
    <n v="4"/>
    <x v="94"/>
    <x v="2"/>
    <n v="18"/>
    <n v="54"/>
    <n v="72"/>
  </r>
  <r>
    <x v="99"/>
    <x v="99"/>
    <x v="1"/>
    <x v="1"/>
    <n v="5"/>
    <x v="95"/>
    <x v="7"/>
    <n v="21"/>
    <n v="59"/>
    <n v="80"/>
  </r>
  <r>
    <x v="99"/>
    <x v="99"/>
    <x v="1"/>
    <x v="1"/>
    <n v="5"/>
    <x v="95"/>
    <x v="7"/>
    <n v="21"/>
    <n v="59"/>
    <n v="80"/>
  </r>
  <r>
    <x v="100"/>
    <x v="100"/>
    <x v="0"/>
    <x v="0"/>
    <n v="6"/>
    <x v="96"/>
    <x v="30"/>
    <n v="18"/>
    <n v="50"/>
    <n v="68"/>
  </r>
  <r>
    <x v="101"/>
    <x v="101"/>
    <x v="1"/>
    <x v="2"/>
    <n v="1"/>
    <x v="97"/>
    <x v="15"/>
    <n v="23"/>
    <n v="63"/>
    <n v="86"/>
  </r>
  <r>
    <x v="102"/>
    <x v="102"/>
    <x v="0"/>
    <x v="3"/>
    <n v="2"/>
    <x v="98"/>
    <x v="32"/>
    <n v="15"/>
    <n v="43"/>
    <n v="58"/>
  </r>
  <r>
    <x v="103"/>
    <x v="103"/>
    <x v="1"/>
    <x v="1"/>
    <n v="3"/>
    <x v="99"/>
    <x v="19"/>
    <n v="24"/>
    <n v="66"/>
    <n v="90"/>
  </r>
  <r>
    <x v="104"/>
    <x v="104"/>
    <x v="0"/>
    <x v="0"/>
    <n v="4"/>
    <x v="100"/>
    <x v="16"/>
    <n v="19"/>
    <n v="56"/>
    <n v="75"/>
  </r>
  <r>
    <x v="105"/>
    <x v="105"/>
    <x v="1"/>
    <x v="2"/>
    <n v="5"/>
    <x v="101"/>
    <x v="31"/>
    <n v="21"/>
    <n v="58"/>
    <n v="79"/>
  </r>
  <r>
    <x v="106"/>
    <x v="106"/>
    <x v="0"/>
    <x v="3"/>
    <n v="6"/>
    <x v="102"/>
    <x v="3"/>
    <n v="16"/>
    <n v="47"/>
    <n v="63"/>
  </r>
  <r>
    <x v="107"/>
    <x v="107"/>
    <x v="1"/>
    <x v="1"/>
    <n v="1"/>
    <x v="103"/>
    <x v="33"/>
    <n v="25"/>
    <n v="69"/>
    <n v="94"/>
  </r>
  <r>
    <x v="108"/>
    <x v="108"/>
    <x v="0"/>
    <x v="0"/>
    <n v="2"/>
    <x v="104"/>
    <x v="9"/>
    <n v="17"/>
    <n v="49"/>
    <n v="66"/>
  </r>
  <r>
    <x v="109"/>
    <x v="109"/>
    <x v="1"/>
    <x v="2"/>
    <n v="3"/>
    <x v="105"/>
    <x v="11"/>
    <n v="22"/>
    <n v="60"/>
    <n v="82"/>
  </r>
  <r>
    <x v="110"/>
    <x v="110"/>
    <x v="0"/>
    <x v="3"/>
    <n v="4"/>
    <x v="106"/>
    <x v="23"/>
    <n v="14"/>
    <n v="41"/>
    <n v="55"/>
  </r>
  <r>
    <x v="111"/>
    <x v="111"/>
    <x v="1"/>
    <x v="1"/>
    <n v="5"/>
    <x v="107"/>
    <x v="1"/>
    <n v="22"/>
    <n v="62"/>
    <n v="84"/>
  </r>
  <r>
    <x v="112"/>
    <x v="112"/>
    <x v="0"/>
    <x v="0"/>
    <n v="6"/>
    <x v="108"/>
    <x v="20"/>
    <n v="18"/>
    <n v="51"/>
    <n v="69"/>
  </r>
  <r>
    <x v="113"/>
    <x v="113"/>
    <x v="1"/>
    <x v="2"/>
    <n v="1"/>
    <x v="54"/>
    <x v="10"/>
    <n v="24"/>
    <n v="65"/>
    <n v="89"/>
  </r>
  <r>
    <x v="114"/>
    <x v="114"/>
    <x v="0"/>
    <x v="3"/>
    <n v="2"/>
    <x v="109"/>
    <x v="18"/>
    <n v="15"/>
    <n v="44"/>
    <n v="59"/>
  </r>
  <r>
    <x v="115"/>
    <x v="115"/>
    <x v="1"/>
    <x v="1"/>
    <n v="3"/>
    <x v="51"/>
    <x v="0"/>
    <n v="24"/>
    <n v="67"/>
    <n v="91"/>
  </r>
  <r>
    <x v="116"/>
    <x v="116"/>
    <x v="0"/>
    <x v="0"/>
    <n v="4"/>
    <x v="110"/>
    <x v="25"/>
    <n v="19"/>
    <n v="54"/>
    <n v="73"/>
  </r>
  <r>
    <x v="117"/>
    <x v="117"/>
    <x v="1"/>
    <x v="2"/>
    <n v="5"/>
    <x v="111"/>
    <x v="21"/>
    <n v="22"/>
    <n v="61"/>
    <n v="83"/>
  </r>
  <r>
    <x v="118"/>
    <x v="118"/>
    <x v="0"/>
    <x v="3"/>
    <n v="6"/>
    <x v="112"/>
    <x v="14"/>
    <n v="14"/>
    <n v="41"/>
    <n v="55"/>
  </r>
  <r>
    <x v="119"/>
    <x v="119"/>
    <x v="1"/>
    <x v="1"/>
    <n v="1"/>
    <x v="113"/>
    <x v="19"/>
    <n v="24"/>
    <n v="66"/>
    <n v="90"/>
  </r>
  <r>
    <x v="120"/>
    <x v="120"/>
    <x v="0"/>
    <x v="0"/>
    <n v="2"/>
    <x v="71"/>
    <x v="13"/>
    <n v="18"/>
    <n v="52"/>
    <n v="70"/>
  </r>
  <r>
    <x v="121"/>
    <x v="121"/>
    <x v="1"/>
    <x v="2"/>
    <n v="3"/>
    <x v="65"/>
    <x v="28"/>
    <n v="22"/>
    <n v="61"/>
    <n v="83"/>
  </r>
  <r>
    <x v="122"/>
    <x v="122"/>
    <x v="0"/>
    <x v="3"/>
    <n v="4"/>
    <x v="114"/>
    <x v="6"/>
    <n v="15"/>
    <n v="44"/>
    <n v="59"/>
  </r>
  <r>
    <x v="123"/>
    <x v="123"/>
    <x v="1"/>
    <x v="1"/>
    <n v="5"/>
    <x v="0"/>
    <x v="26"/>
    <n v="25"/>
    <n v="69"/>
    <n v="94"/>
  </r>
  <r>
    <x v="124"/>
    <x v="124"/>
    <x v="0"/>
    <x v="0"/>
    <n v="6"/>
    <x v="115"/>
    <x v="8"/>
    <n v="19"/>
    <n v="55"/>
    <n v="74"/>
  </r>
  <r>
    <x v="125"/>
    <x v="125"/>
    <x v="1"/>
    <x v="2"/>
    <n v="1"/>
    <x v="75"/>
    <x v="7"/>
    <n v="21"/>
    <n v="59"/>
    <n v="80"/>
  </r>
  <r>
    <x v="126"/>
    <x v="126"/>
    <x v="0"/>
    <x v="3"/>
    <n v="2"/>
    <x v="116"/>
    <x v="12"/>
    <n v="16"/>
    <n v="45"/>
    <n v="61"/>
  </r>
  <r>
    <x v="127"/>
    <x v="127"/>
    <x v="1"/>
    <x v="1"/>
    <n v="3"/>
    <x v="117"/>
    <x v="10"/>
    <n v="24"/>
    <n v="65"/>
    <n v="89"/>
  </r>
  <r>
    <x v="128"/>
    <x v="128"/>
    <x v="0"/>
    <x v="0"/>
    <n v="4"/>
    <x v="118"/>
    <x v="30"/>
    <n v="18"/>
    <n v="50"/>
    <n v="68"/>
  </r>
  <r>
    <x v="129"/>
    <x v="129"/>
    <x v="1"/>
    <x v="2"/>
    <n v="5"/>
    <x v="119"/>
    <x v="1"/>
    <n v="22"/>
    <n v="62"/>
    <n v="84"/>
  </r>
  <r>
    <x v="130"/>
    <x v="130"/>
    <x v="0"/>
    <x v="3"/>
    <n v="6"/>
    <x v="120"/>
    <x v="32"/>
    <n v="15"/>
    <n v="43"/>
    <n v="58"/>
  </r>
  <r>
    <x v="131"/>
    <x v="131"/>
    <x v="1"/>
    <x v="1"/>
    <n v="1"/>
    <x v="79"/>
    <x v="0"/>
    <n v="24"/>
    <n v="67"/>
    <n v="91"/>
  </r>
  <r>
    <x v="132"/>
    <x v="132"/>
    <x v="0"/>
    <x v="0"/>
    <n v="2"/>
    <x v="121"/>
    <x v="2"/>
    <n v="18"/>
    <n v="54"/>
    <n v="72"/>
  </r>
  <r>
    <x v="133"/>
    <x v="133"/>
    <x v="1"/>
    <x v="2"/>
    <n v="3"/>
    <x v="122"/>
    <x v="11"/>
    <n v="22"/>
    <n v="60"/>
    <n v="82"/>
  </r>
  <r>
    <x v="134"/>
    <x v="134"/>
    <x v="0"/>
    <x v="3"/>
    <n v="4"/>
    <x v="88"/>
    <x v="23"/>
    <n v="14"/>
    <n v="41"/>
    <n v="55"/>
  </r>
  <r>
    <x v="135"/>
    <x v="135"/>
    <x v="1"/>
    <x v="1"/>
    <n v="5"/>
    <x v="123"/>
    <x v="19"/>
    <n v="24"/>
    <n v="66"/>
    <n v="90"/>
  </r>
  <r>
    <x v="136"/>
    <x v="136"/>
    <x v="0"/>
    <x v="0"/>
    <n v="6"/>
    <x v="124"/>
    <x v="16"/>
    <n v="19"/>
    <n v="56"/>
    <n v="75"/>
  </r>
  <r>
    <x v="137"/>
    <x v="137"/>
    <x v="1"/>
    <x v="2"/>
    <n v="1"/>
    <x v="125"/>
    <x v="31"/>
    <n v="21"/>
    <n v="58"/>
    <n v="79"/>
  </r>
  <r>
    <x v="138"/>
    <x v="138"/>
    <x v="0"/>
    <x v="3"/>
    <n v="2"/>
    <x v="76"/>
    <x v="3"/>
    <n v="16"/>
    <n v="47"/>
    <n v="63"/>
  </r>
  <r>
    <x v="139"/>
    <x v="139"/>
    <x v="1"/>
    <x v="1"/>
    <n v="3"/>
    <x v="2"/>
    <x v="33"/>
    <n v="25"/>
    <n v="69"/>
    <n v="94"/>
  </r>
  <r>
    <x v="140"/>
    <x v="140"/>
    <x v="0"/>
    <x v="0"/>
    <n v="4"/>
    <x v="126"/>
    <x v="9"/>
    <n v="17"/>
    <n v="49"/>
    <n v="66"/>
  </r>
  <r>
    <x v="141"/>
    <x v="141"/>
    <x v="1"/>
    <x v="2"/>
    <n v="5"/>
    <x v="67"/>
    <x v="21"/>
    <n v="22"/>
    <n v="61"/>
    <n v="83"/>
  </r>
  <r>
    <x v="142"/>
    <x v="142"/>
    <x v="0"/>
    <x v="3"/>
    <n v="6"/>
    <x v="85"/>
    <x v="14"/>
    <n v="14"/>
    <n v="41"/>
    <n v="55"/>
  </r>
  <r>
    <x v="143"/>
    <x v="143"/>
    <x v="1"/>
    <x v="1"/>
    <n v="1"/>
    <x v="127"/>
    <x v="10"/>
    <n v="24"/>
    <n v="65"/>
    <n v="89"/>
  </r>
  <r>
    <x v="144"/>
    <x v="144"/>
    <x v="0"/>
    <x v="0"/>
    <n v="2"/>
    <x v="128"/>
    <x v="25"/>
    <n v="19"/>
    <n v="54"/>
    <n v="73"/>
  </r>
  <r>
    <x v="145"/>
    <x v="145"/>
    <x v="1"/>
    <x v="2"/>
    <n v="3"/>
    <x v="129"/>
    <x v="1"/>
    <n v="22"/>
    <n v="62"/>
    <n v="84"/>
  </r>
  <r>
    <x v="146"/>
    <x v="146"/>
    <x v="0"/>
    <x v="3"/>
    <n v="4"/>
    <x v="130"/>
    <x v="6"/>
    <n v="15"/>
    <n v="44"/>
    <n v="59"/>
  </r>
  <r>
    <x v="147"/>
    <x v="147"/>
    <x v="1"/>
    <x v="1"/>
    <n v="5"/>
    <x v="131"/>
    <x v="0"/>
    <n v="24"/>
    <n v="67"/>
    <n v="91"/>
  </r>
  <r>
    <x v="148"/>
    <x v="148"/>
    <x v="0"/>
    <x v="0"/>
    <n v="6"/>
    <x v="132"/>
    <x v="20"/>
    <n v="18"/>
    <n v="51"/>
    <n v="69"/>
  </r>
  <r>
    <x v="149"/>
    <x v="149"/>
    <x v="1"/>
    <x v="2"/>
    <n v="1"/>
    <x v="133"/>
    <x v="7"/>
    <n v="21"/>
    <n v="59"/>
    <n v="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10">
    <pivotField showAll="0">
      <items count="151">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t="default"/>
      </items>
    </pivotField>
    <pivotField showAll="0">
      <items count="151">
        <item h="1" x="0"/>
        <item h="1" x="143"/>
        <item h="1" x="55"/>
        <item x="12"/>
        <item h="1" x="68"/>
        <item h="1" x="22"/>
        <item h="1" x="78"/>
        <item h="1" x="67"/>
        <item h="1" x="96"/>
        <item h="1" x="60"/>
        <item h="1" x="108"/>
        <item h="1" x="16"/>
        <item h="1" x="5"/>
        <item h="1" x="99"/>
        <item h="1" x="149"/>
        <item h="1" x="119"/>
        <item h="1" x="49"/>
        <item h="1" x="8"/>
        <item h="1" x="134"/>
        <item h="1" x="90"/>
        <item h="1" x="102"/>
        <item h="1" x="126"/>
        <item h="1" x="35"/>
        <item h="1" x="42"/>
        <item h="1" x="74"/>
        <item h="1" x="48"/>
        <item h="1" x="114"/>
        <item h="1" x="30"/>
        <item h="1" x="138"/>
        <item h="1" x="1"/>
        <item h="1" x="26"/>
        <item h="1" x="54"/>
        <item h="1" x="39"/>
        <item h="1" x="120"/>
        <item h="1" x="81"/>
        <item h="1" x="7"/>
        <item h="1" x="123"/>
        <item h="1" x="61"/>
        <item h="1" x="77"/>
        <item h="1" x="111"/>
        <item h="1" x="36"/>
        <item h="1" x="13"/>
        <item h="1" x="86"/>
        <item h="1" x="93"/>
        <item h="1" x="33"/>
        <item h="1" x="135"/>
        <item h="1" x="53"/>
        <item h="1" x="69"/>
        <item h="1" x="4"/>
        <item h="1" x="124"/>
        <item h="1" x="92"/>
        <item h="1" x="14"/>
        <item h="1" x="110"/>
        <item h="1" x="76"/>
        <item h="1" x="58"/>
        <item h="1" x="19"/>
        <item h="1" x="47"/>
        <item h="1" x="24"/>
        <item h="1" x="136"/>
        <item h="1" x="107"/>
        <item h="1" x="83"/>
        <item h="1" x="57"/>
        <item h="1" x="80"/>
        <item h="1" x="65"/>
        <item h="1" x="103"/>
        <item h="1" x="89"/>
        <item h="1" x="9"/>
        <item h="1" x="20"/>
        <item h="1" x="131"/>
        <item h="1" x="52"/>
        <item h="1" x="147"/>
        <item h="1" x="71"/>
        <item h="1" x="29"/>
        <item h="1" x="112"/>
        <item h="1" x="44"/>
        <item h="1" x="21"/>
        <item h="1" x="41"/>
        <item h="1" x="70"/>
        <item h="1" x="142"/>
        <item h="1" x="37"/>
        <item h="1" x="117"/>
        <item h="1" x="128"/>
        <item h="1" x="11"/>
        <item h="1" x="91"/>
        <item h="1" x="109"/>
        <item h="1" x="137"/>
        <item h="1" x="56"/>
        <item h="1" x="79"/>
        <item h="1" x="63"/>
        <item h="1" x="145"/>
        <item h="1" x="3"/>
        <item h="1" x="97"/>
        <item h="1" x="101"/>
        <item h="1" x="51"/>
        <item h="1" x="121"/>
        <item h="1" x="18"/>
        <item h="1" x="50"/>
        <item h="1" x="34"/>
        <item h="1" x="116"/>
        <item h="1" x="82"/>
        <item h="1" x="140"/>
        <item h="1" x="122"/>
        <item h="1" x="62"/>
        <item h="1" x="146"/>
        <item h="1" x="133"/>
        <item h="1" x="95"/>
        <item h="1" x="113"/>
        <item h="1" x="45"/>
        <item h="1" x="127"/>
        <item h="1" x="15"/>
        <item h="1" x="85"/>
        <item h="1" x="73"/>
        <item h="1" x="105"/>
        <item h="1" x="27"/>
        <item h="1" x="2"/>
        <item h="1" x="40"/>
        <item h="1" x="100"/>
        <item h="1" x="98"/>
        <item h="1" x="59"/>
        <item h="1" x="46"/>
        <item h="1" x="132"/>
        <item h="1" x="38"/>
        <item h="1" x="104"/>
        <item h="1" x="72"/>
        <item h="1" x="84"/>
        <item h="1" x="75"/>
        <item h="1" x="43"/>
        <item h="1" x="115"/>
        <item h="1" x="141"/>
        <item h="1" x="10"/>
        <item h="1" x="31"/>
        <item h="1" x="17"/>
        <item h="1" x="25"/>
        <item h="1" x="129"/>
        <item h="1" x="87"/>
        <item h="1" x="144"/>
        <item h="1" x="94"/>
        <item h="1" x="118"/>
        <item h="1" x="66"/>
        <item h="1" x="125"/>
        <item h="1" x="23"/>
        <item h="1" x="139"/>
        <item h="1" x="28"/>
        <item h="1" x="148"/>
        <item h="1" x="64"/>
        <item h="1" x="106"/>
        <item h="1" x="130"/>
        <item h="1" x="88"/>
        <item h="1" x="6"/>
        <item h="1" x="32"/>
        <item t="default"/>
      </items>
    </pivotField>
    <pivotField showAll="0"/>
    <pivotField axis="axisRow" showAll="0">
      <items count="5">
        <item x="3"/>
        <item x="0"/>
        <item x="2"/>
        <item x="1"/>
        <item t="default"/>
      </items>
    </pivotField>
    <pivotField showAll="0"/>
    <pivotField showAll="0"/>
    <pivotField showAll="0">
      <items count="35">
        <item h="1" x="27"/>
        <item h="1" x="14"/>
        <item h="1" x="23"/>
        <item h="1" x="32"/>
        <item x="6"/>
        <item h="1" x="18"/>
        <item h="1" x="12"/>
        <item h="1" x="3"/>
        <item h="1" x="24"/>
        <item h="1" x="9"/>
        <item h="1" x="30"/>
        <item h="1" x="20"/>
        <item h="1" x="13"/>
        <item h="1" x="2"/>
        <item h="1" x="25"/>
        <item h="1" x="16"/>
        <item h="1" x="8"/>
        <item h="1" x="22"/>
        <item h="1" x="29"/>
        <item h="1" x="4"/>
        <item h="1" x="17"/>
        <item h="1" x="31"/>
        <item h="1" x="7"/>
        <item h="1" x="21"/>
        <item h="1" x="11"/>
        <item h="1" x="28"/>
        <item h="1" x="1"/>
        <item h="1" x="15"/>
        <item h="1" x="10"/>
        <item h="1" x="19"/>
        <item h="1" x="0"/>
        <item h="1" x="26"/>
        <item h="1" x="33"/>
        <item h="1" x="5"/>
        <item t="default"/>
      </items>
    </pivotField>
    <pivotField showAll="0"/>
    <pivotField showAll="0"/>
    <pivotField dataField="1" showAll="0"/>
  </pivotFields>
  <rowFields count="1">
    <field x="3"/>
  </rowFields>
  <rowItems count="4">
    <i>
      <x/>
    </i>
    <i>
      <x v="1"/>
    </i>
    <i>
      <x v="2"/>
    </i>
    <i t="grand">
      <x/>
    </i>
  </rowItems>
  <colItems count="1">
    <i/>
  </colItems>
  <dataFields count="1">
    <dataField name="Sum of TOTAL_MARKS" fld="9" baseField="0" baseItem="0"/>
  </dataFields>
  <chartFormats count="7">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9">
  <location ref="A3:B6" firstHeaderRow="1" firstDataRow="1" firstDataCol="1"/>
  <pivotFields count="10">
    <pivotField showAll="0"/>
    <pivotField showAll="0">
      <items count="151">
        <item x="0"/>
        <item x="143"/>
        <item x="55"/>
        <item x="12"/>
        <item x="68"/>
        <item x="22"/>
        <item x="78"/>
        <item x="67"/>
        <item x="96"/>
        <item x="60"/>
        <item x="108"/>
        <item x="16"/>
        <item x="5"/>
        <item x="99"/>
        <item x="149"/>
        <item x="119"/>
        <item x="49"/>
        <item x="8"/>
        <item x="134"/>
        <item x="90"/>
        <item x="102"/>
        <item x="126"/>
        <item x="35"/>
        <item x="42"/>
        <item x="74"/>
        <item x="48"/>
        <item x="114"/>
        <item x="30"/>
        <item x="138"/>
        <item x="1"/>
        <item x="26"/>
        <item x="54"/>
        <item x="39"/>
        <item x="120"/>
        <item x="81"/>
        <item x="7"/>
        <item x="123"/>
        <item x="61"/>
        <item x="77"/>
        <item x="111"/>
        <item x="36"/>
        <item x="13"/>
        <item x="86"/>
        <item x="93"/>
        <item x="33"/>
        <item x="135"/>
        <item x="53"/>
        <item x="69"/>
        <item x="4"/>
        <item x="124"/>
        <item x="92"/>
        <item x="14"/>
        <item x="110"/>
        <item x="76"/>
        <item x="58"/>
        <item x="19"/>
        <item x="47"/>
        <item x="24"/>
        <item x="136"/>
        <item x="107"/>
        <item x="83"/>
        <item x="57"/>
        <item x="80"/>
        <item x="65"/>
        <item x="103"/>
        <item x="89"/>
        <item x="9"/>
        <item x="20"/>
        <item x="131"/>
        <item x="52"/>
        <item x="147"/>
        <item x="71"/>
        <item x="29"/>
        <item x="112"/>
        <item x="44"/>
        <item x="21"/>
        <item x="41"/>
        <item x="70"/>
        <item x="142"/>
        <item x="37"/>
        <item x="117"/>
        <item x="128"/>
        <item x="11"/>
        <item x="91"/>
        <item x="109"/>
        <item x="137"/>
        <item x="56"/>
        <item x="79"/>
        <item x="63"/>
        <item x="145"/>
        <item x="3"/>
        <item x="97"/>
        <item x="101"/>
        <item x="51"/>
        <item x="121"/>
        <item x="18"/>
        <item x="50"/>
        <item x="34"/>
        <item x="116"/>
        <item x="82"/>
        <item x="140"/>
        <item x="122"/>
        <item x="62"/>
        <item x="146"/>
        <item x="133"/>
        <item x="95"/>
        <item x="113"/>
        <item x="45"/>
        <item x="127"/>
        <item x="15"/>
        <item x="85"/>
        <item x="73"/>
        <item x="105"/>
        <item x="27"/>
        <item x="2"/>
        <item x="40"/>
        <item x="100"/>
        <item x="98"/>
        <item x="59"/>
        <item x="46"/>
        <item x="132"/>
        <item x="38"/>
        <item x="104"/>
        <item x="72"/>
        <item x="84"/>
        <item x="75"/>
        <item x="43"/>
        <item x="115"/>
        <item x="141"/>
        <item x="10"/>
        <item x="31"/>
        <item x="17"/>
        <item x="25"/>
        <item x="129"/>
        <item x="87"/>
        <item x="144"/>
        <item x="94"/>
        <item x="118"/>
        <item x="66"/>
        <item x="125"/>
        <item x="23"/>
        <item x="139"/>
        <item x="28"/>
        <item x="148"/>
        <item x="64"/>
        <item x="106"/>
        <item x="130"/>
        <item x="88"/>
        <item x="6"/>
        <item x="32"/>
        <item t="default"/>
      </items>
    </pivotField>
    <pivotField axis="axisRow" showAll="0">
      <items count="3">
        <item x="1"/>
        <item x="0"/>
        <item t="default"/>
      </items>
    </pivotField>
    <pivotField showAll="0">
      <items count="5">
        <item x="3"/>
        <item x="0"/>
        <item x="2"/>
        <item x="1"/>
        <item t="default"/>
      </items>
    </pivotField>
    <pivotField showAll="0"/>
    <pivotField showAll="0">
      <items count="135">
        <item h="1" x="30"/>
        <item h="1" x="0"/>
        <item h="1" x="43"/>
        <item h="1" x="28"/>
        <item x="32"/>
        <item h="1" x="51"/>
        <item h="1" x="98"/>
        <item h="1" x="130"/>
        <item h="1" x="82"/>
        <item h="1" x="39"/>
        <item h="1" x="54"/>
        <item h="1" x="109"/>
        <item h="1" x="65"/>
        <item h="1" x="5"/>
        <item h="1" x="127"/>
        <item h="1" x="80"/>
        <item h="1" x="66"/>
        <item h="1" x="57"/>
        <item h="1" x="88"/>
        <item h="1" x="117"/>
        <item h="1" x="112"/>
        <item h="1" x="61"/>
        <item h="1" x="33"/>
        <item h="1" x="86"/>
        <item h="1" x="99"/>
        <item h="1" x="18"/>
        <item h="1" x="52"/>
        <item h="1" x="106"/>
        <item h="1" x="116"/>
        <item h="1" x="73"/>
        <item h="1" x="13"/>
        <item h="1" x="6"/>
        <item h="1" x="85"/>
        <item h="1" x="92"/>
        <item h="1" x="113"/>
        <item h="1" x="59"/>
        <item h="1" x="128"/>
        <item h="1" x="68"/>
        <item h="1" x="22"/>
        <item h="1" x="7"/>
        <item h="1" x="50"/>
        <item h="1" x="93"/>
        <item h="1" x="37"/>
        <item h="1" x="94"/>
        <item h="1" x="62"/>
        <item h="1" x="95"/>
        <item h="1" x="24"/>
        <item h="1" x="105"/>
        <item h="1" x="60"/>
        <item h="1" x="102"/>
        <item h="1" x="56"/>
        <item h="1" x="120"/>
        <item h="1" x="15"/>
        <item h="1" x="29"/>
        <item h="1" x="75"/>
        <item h="1" x="84"/>
        <item h="1" x="53"/>
        <item h="1" x="46"/>
        <item h="1" x="10"/>
        <item h="1" x="3"/>
        <item h="1" x="121"/>
        <item h="1" x="77"/>
        <item h="1" x="133"/>
        <item h="1" x="44"/>
        <item h="1" x="87"/>
        <item h="1" x="79"/>
        <item h="1" x="14"/>
        <item h="1" x="11"/>
        <item h="1" x="23"/>
        <item h="1" x="27"/>
        <item h="1" x="131"/>
        <item h="1" x="9"/>
        <item h="1" x="31"/>
        <item h="1" x="104"/>
        <item h="1" x="110"/>
        <item h="1" x="101"/>
        <item h="1" x="115"/>
        <item h="1" x="74"/>
        <item h="1" x="96"/>
        <item h="1" x="76"/>
        <item h="1" x="35"/>
        <item h="1" x="123"/>
        <item h="1" x="118"/>
        <item h="1" x="72"/>
        <item h="1" x="63"/>
        <item h="1" x="69"/>
        <item h="1" x="38"/>
        <item h="1" x="100"/>
        <item h="1" x="125"/>
        <item h="1" x="12"/>
        <item h="1" x="17"/>
        <item h="1" x="58"/>
        <item h="1" x="49"/>
        <item h="1" x="8"/>
        <item h="1" x="122"/>
        <item h="1" x="107"/>
        <item h="1" x="34"/>
        <item h="1" x="119"/>
        <item h="1" x="26"/>
        <item h="1" x="16"/>
        <item h="1" x="4"/>
        <item h="1" x="25"/>
        <item h="1" x="21"/>
        <item h="1" x="64"/>
        <item h="1" x="90"/>
        <item h="1" x="114"/>
        <item h="1" x="41"/>
        <item h="1" x="124"/>
        <item h="1" x="47"/>
        <item h="1" x="126"/>
        <item h="1" x="89"/>
        <item h="1" x="40"/>
        <item h="1" x="48"/>
        <item h="1" x="111"/>
        <item h="1" x="70"/>
        <item h="1" x="55"/>
        <item h="1" x="67"/>
        <item h="1" x="108"/>
        <item h="1" x="42"/>
        <item h="1" x="129"/>
        <item h="1" x="78"/>
        <item h="1" x="81"/>
        <item h="1" x="45"/>
        <item h="1" x="97"/>
        <item h="1" x="1"/>
        <item h="1" x="103"/>
        <item h="1" x="20"/>
        <item h="1" x="36"/>
        <item h="1" x="132"/>
        <item h="1" x="71"/>
        <item h="1" x="2"/>
        <item h="1" x="91"/>
        <item h="1" x="19"/>
        <item h="1" x="83"/>
        <item t="default"/>
      </items>
    </pivotField>
    <pivotField showAll="0"/>
    <pivotField showAll="0"/>
    <pivotField showAll="0"/>
    <pivotField dataField="1" showAll="0"/>
  </pivotFields>
  <rowFields count="1">
    <field x="2"/>
  </rowFields>
  <rowItems count="3">
    <i>
      <x/>
    </i>
    <i>
      <x v="1"/>
    </i>
    <i t="grand">
      <x/>
    </i>
  </rowItems>
  <colItems count="1">
    <i/>
  </colItems>
  <dataFields count="1">
    <dataField name="Sum of TOTAL_MARKS" fld="9" baseField="0" baseItem="0"/>
  </dataFields>
  <chartFormats count="6">
    <chartFormat chart="44"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0"/>
          </reference>
        </references>
      </pivotArea>
    </chartFormat>
    <chartFormat chart="48" format="5">
      <pivotArea type="data" outline="0" fieldPosition="0">
        <references count="2">
          <reference field="4294967294" count="1" selected="0">
            <x v="0"/>
          </reference>
          <reference field="2" count="1" selected="0">
            <x v="0"/>
          </reference>
        </references>
      </pivotArea>
    </chartFormat>
    <chartFormat chart="48"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ENDENCE" sourceName="ATTENDENCE %">
  <pivotTables>
    <pivotTable tabId="8" name="PivotTable1"/>
  </pivotTables>
  <data>
    <tabular pivotCacheId="1">
      <items count="34">
        <i x="27"/>
        <i x="14"/>
        <i x="23"/>
        <i x="32"/>
        <i x="6" s="1"/>
        <i x="18"/>
        <i x="12"/>
        <i x="3"/>
        <i x="24"/>
        <i x="9"/>
        <i x="30"/>
        <i x="20"/>
        <i x="13"/>
        <i x="2"/>
        <i x="25"/>
        <i x="16"/>
        <i x="8"/>
        <i x="22"/>
        <i x="29"/>
        <i x="4"/>
        <i x="17"/>
        <i x="31"/>
        <i x="7"/>
        <i x="21"/>
        <i x="11"/>
        <i x="28"/>
        <i x="1"/>
        <i x="15"/>
        <i x="10"/>
        <i x="19"/>
        <i x="0"/>
        <i x="26"/>
        <i x="33"/>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RSE" sourceName="COURSE">
  <pivotTables>
    <pivotTable tabId="9" name="PivotTable2"/>
  </pivotTables>
  <data>
    <tabular pivotCacheId="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ENDENCE % 1" cache="Slicer_ATTENDENCE" caption="ATTENDENCE %" rowHeight="234950"/>
  <slicer name="COURSE 1" cache="Slicer_COURSE" caption="COURS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ATTENDENCE %" cache="Slicer_ATTENDENCE" caption="ATTENDENCE %"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COURSE" cache="Slicer_COURSE" caption="COURSE" rowHeight="234950"/>
</slicers>
</file>

<file path=xl/tables/table1.xml><?xml version="1.0" encoding="utf-8"?>
<table xmlns="http://schemas.openxmlformats.org/spreadsheetml/2006/main" id="1" name="Table1" displayName="Table1" ref="A1:J153" totalsRowCount="1" headerRowDxfId="10" headerRowBorderDxfId="22" tableBorderDxfId="23" totalsRowBorderDxfId="21">
  <autoFilter ref="A1:J153"/>
  <tableColumns count="10">
    <tableColumn id="1" name="STUDENT_ID" dataDxfId="20" totalsRowDxfId="9"/>
    <tableColumn id="2" name="NAME" dataDxfId="19" totalsRowDxfId="8"/>
    <tableColumn id="3" name="GENDER" dataDxfId="18" totalsRowDxfId="7"/>
    <tableColumn id="4" name="COURSE" dataDxfId="17" totalsRowDxfId="6"/>
    <tableColumn id="5" name="SEMESTER" dataDxfId="16" totalsRowDxfId="5"/>
    <tableColumn id="6" name="CITY" dataDxfId="15" totalsRowDxfId="4"/>
    <tableColumn id="7" name="ATTENDENCE %" dataDxfId="14" totalsRowDxfId="3"/>
    <tableColumn id="8" name="INTERNAL_MARKS" dataDxfId="13" totalsRowDxfId="2"/>
    <tableColumn id="9" name="EXTERNAL_MARKS" dataDxfId="12" totalsRowDxfId="1"/>
    <tableColumn id="10" name="TOTAL_MARKS" dataDxfId="1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60"/>
  <sheetViews>
    <sheetView showGridLines="0" tabSelected="1" topLeftCell="A4" zoomScaleNormal="100" workbookViewId="0">
      <selection activeCell="E4" sqref="E4"/>
    </sheetView>
  </sheetViews>
  <sheetFormatPr defaultRowHeight="14.4" x14ac:dyDescent="0.3"/>
  <cols>
    <col min="2" max="2" width="12.5546875" bestFit="1" customWidth="1"/>
    <col min="3" max="3" width="5.21875" customWidth="1"/>
  </cols>
  <sheetData>
    <row r="1" spans="1:52" x14ac:dyDescent="0.3">
      <c r="A1" s="31" t="s">
        <v>464</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row>
    <row r="2" spans="1:52" x14ac:dyDescent="0.3">
      <c r="A2" s="32"/>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row>
    <row r="3" spans="1:52" x14ac:dyDescent="0.3">
      <c r="A3" s="32"/>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row>
    <row r="4" spans="1:52" x14ac:dyDescent="0.3">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row>
    <row r="5" spans="1:52" x14ac:dyDescent="0.3">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row>
    <row r="6" spans="1:52" x14ac:dyDescent="0.3">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row>
    <row r="7" spans="1:52" x14ac:dyDescent="0.3">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row>
    <row r="8" spans="1:52" x14ac:dyDescent="0.3">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row>
    <row r="9" spans="1:52" x14ac:dyDescent="0.3">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row>
    <row r="10" spans="1:52" x14ac:dyDescent="0.3">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row>
    <row r="11" spans="1:52" x14ac:dyDescent="0.3">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row>
    <row r="13" spans="1:52" x14ac:dyDescent="0.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row>
    <row r="14" spans="1:52" x14ac:dyDescent="0.3">
      <c r="A14" s="33"/>
      <c r="B14" s="33"/>
      <c r="C14" s="33"/>
      <c r="D14" s="33"/>
      <c r="E14" s="33"/>
      <c r="F14" s="33"/>
      <c r="G14" s="33"/>
      <c r="H14" s="30"/>
      <c r="I14" s="30"/>
      <c r="J14" s="30"/>
      <c r="K14" s="30"/>
      <c r="L14" s="30"/>
      <c r="M14" s="30"/>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row>
    <row r="15" spans="1:52" ht="25.8" x14ac:dyDescent="0.3">
      <c r="A15" s="33"/>
      <c r="B15" s="33"/>
      <c r="C15" s="33"/>
      <c r="D15" s="33"/>
      <c r="E15" s="33"/>
      <c r="F15" s="33"/>
      <c r="G15" s="33"/>
      <c r="H15" s="30"/>
      <c r="I15" s="34" t="s">
        <v>468</v>
      </c>
      <c r="J15" s="30"/>
      <c r="K15" s="30"/>
      <c r="L15" s="30"/>
      <c r="M15" s="30"/>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row>
    <row r="16" spans="1:52" x14ac:dyDescent="0.3">
      <c r="A16" s="33"/>
      <c r="B16" s="33"/>
      <c r="C16" s="33"/>
      <c r="D16" s="33"/>
      <c r="E16" s="33"/>
      <c r="F16" s="33"/>
      <c r="G16" s="33"/>
      <c r="H16" s="30"/>
      <c r="I16" s="30"/>
      <c r="J16" s="30"/>
      <c r="K16" s="30"/>
      <c r="L16" s="30"/>
      <c r="M16" s="30"/>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row>
    <row r="17" spans="1:52" x14ac:dyDescent="0.3">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row>
    <row r="18" spans="1:52" x14ac:dyDescent="0.3">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row>
    <row r="19" spans="1:52" x14ac:dyDescent="0.3">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row>
    <row r="20" spans="1:52" x14ac:dyDescent="0.3">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row>
    <row r="21" spans="1:52" x14ac:dyDescent="0.3">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row>
    <row r="22" spans="1:52" x14ac:dyDescent="0.3">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row>
    <row r="23" spans="1:52" x14ac:dyDescent="0.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row>
    <row r="24" spans="1:52" x14ac:dyDescent="0.3">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row>
    <row r="25" spans="1:52" x14ac:dyDescent="0.3">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row>
    <row r="26" spans="1:52" x14ac:dyDescent="0.3">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row>
    <row r="27" spans="1:52" x14ac:dyDescent="0.3">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row>
    <row r="28" spans="1:52" x14ac:dyDescent="0.3">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row>
    <row r="29" spans="1:52" x14ac:dyDescent="0.3">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row>
    <row r="30" spans="1:52" x14ac:dyDescent="0.3">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row>
    <row r="31" spans="1:52" x14ac:dyDescent="0.3">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row>
    <row r="32" spans="1:52" x14ac:dyDescent="0.3">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row>
    <row r="33" spans="1:52" x14ac:dyDescent="0.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row>
    <row r="34" spans="1:52" x14ac:dyDescent="0.3">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row>
    <row r="35" spans="1:52" x14ac:dyDescent="0.3">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row>
    <row r="36" spans="1:52" x14ac:dyDescent="0.3">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row>
    <row r="38" spans="1:52" x14ac:dyDescent="0.3">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row>
    <row r="39" spans="1:52" x14ac:dyDescent="0.3">
      <c r="A39" s="33"/>
      <c r="B39" s="33"/>
      <c r="C39" s="33"/>
      <c r="D39" s="33"/>
      <c r="E39" s="33"/>
      <c r="F39" s="33"/>
      <c r="G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row>
    <row r="40" spans="1:52" ht="21" x14ac:dyDescent="0.4">
      <c r="A40" s="33"/>
      <c r="B40" s="33"/>
      <c r="C40" s="33"/>
      <c r="D40" s="33"/>
      <c r="E40" s="33"/>
      <c r="F40" s="33"/>
      <c r="G40" s="33"/>
      <c r="J40" s="35" t="s">
        <v>469</v>
      </c>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row>
    <row r="41" spans="1:52" x14ac:dyDescent="0.3">
      <c r="A41" s="33"/>
      <c r="B41" s="33"/>
      <c r="C41" s="33"/>
      <c r="D41" s="33"/>
      <c r="E41" s="33"/>
      <c r="F41" s="33"/>
      <c r="G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row>
    <row r="42" spans="1:52" x14ac:dyDescent="0.3">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row>
    <row r="43" spans="1:52" x14ac:dyDescent="0.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row>
    <row r="44" spans="1:52" x14ac:dyDescent="0.3">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row>
    <row r="45" spans="1:52" x14ac:dyDescent="0.3">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row>
    <row r="46" spans="1:52" x14ac:dyDescent="0.3">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row>
    <row r="47" spans="1:52" x14ac:dyDescent="0.3">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row>
    <row r="48" spans="1:52" x14ac:dyDescent="0.3">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row>
    <row r="49" spans="1:52" x14ac:dyDescent="0.3">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row>
    <row r="50" spans="1:52" x14ac:dyDescent="0.3">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row>
    <row r="51" spans="1:52" x14ac:dyDescent="0.3">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row>
    <row r="52" spans="1:52" x14ac:dyDescent="0.3">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row>
    <row r="53" spans="1:52" x14ac:dyDescent="0.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row>
    <row r="54" spans="1:52" x14ac:dyDescent="0.3">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row>
    <row r="55" spans="1:52" x14ac:dyDescent="0.3">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row>
    <row r="56" spans="1:52" x14ac:dyDescent="0.3">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row>
    <row r="57" spans="1:52" x14ac:dyDescent="0.3">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row>
    <row r="58" spans="1:52" x14ac:dyDescent="0.3">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row>
    <row r="59" spans="1:52" x14ac:dyDescent="0.3">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row>
    <row r="60" spans="1:52" x14ac:dyDescent="0.3">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row>
  </sheetData>
  <mergeCells count="1">
    <mergeCell ref="A1:AZ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8"/>
  <sheetViews>
    <sheetView topLeftCell="M1" workbookViewId="0">
      <selection activeCell="T16" sqref="T16"/>
    </sheetView>
  </sheetViews>
  <sheetFormatPr defaultRowHeight="14.4" x14ac:dyDescent="0.3"/>
  <cols>
    <col min="1" max="1" width="13.5546875" customWidth="1"/>
    <col min="2" max="2" width="18.109375" customWidth="1"/>
    <col min="3" max="4" width="9.77734375" customWidth="1"/>
    <col min="5" max="5" width="11.77734375" customWidth="1"/>
    <col min="6" max="6" width="13.21875" customWidth="1"/>
    <col min="7" max="7" width="18" customWidth="1"/>
    <col min="8" max="8" width="18.5546875" customWidth="1"/>
    <col min="9" max="9" width="18.77734375" customWidth="1"/>
    <col min="10" max="10" width="15.5546875" customWidth="1"/>
    <col min="11" max="11" width="19.5546875" customWidth="1"/>
    <col min="12" max="12" width="22.77734375" customWidth="1"/>
    <col min="13" max="13" width="19" style="1" customWidth="1"/>
    <col min="14" max="14" width="18.6640625" customWidth="1"/>
    <col min="15" max="15" width="13.6640625" customWidth="1"/>
    <col min="18" max="18" width="11.77734375" customWidth="1"/>
    <col min="19" max="19" width="16.21875" customWidth="1"/>
    <col min="20" max="20" width="11" customWidth="1"/>
    <col min="21" max="21" width="16.6640625" customWidth="1"/>
    <col min="22" max="22" width="22.33203125" customWidth="1"/>
    <col min="23" max="23" width="21.5546875" customWidth="1"/>
  </cols>
  <sheetData>
    <row r="1" spans="1:23" x14ac:dyDescent="0.3">
      <c r="A1" s="4" t="s">
        <v>155</v>
      </c>
      <c r="B1" s="5" t="s">
        <v>156</v>
      </c>
      <c r="C1" s="5" t="s">
        <v>157</v>
      </c>
      <c r="D1" s="5" t="s">
        <v>158</v>
      </c>
      <c r="E1" s="5" t="s">
        <v>159</v>
      </c>
      <c r="F1" s="5" t="s">
        <v>160</v>
      </c>
      <c r="G1" s="5" t="s">
        <v>161</v>
      </c>
      <c r="H1" s="5" t="s">
        <v>162</v>
      </c>
      <c r="I1" s="5" t="s">
        <v>163</v>
      </c>
      <c r="J1" s="6" t="s">
        <v>164</v>
      </c>
      <c r="K1" s="18" t="s">
        <v>458</v>
      </c>
      <c r="L1" s="20" t="s">
        <v>450</v>
      </c>
      <c r="M1" s="22" t="s">
        <v>451</v>
      </c>
      <c r="N1" s="24" t="s">
        <v>452</v>
      </c>
      <c r="O1" s="19" t="s">
        <v>453</v>
      </c>
      <c r="P1" s="15" t="s">
        <v>454</v>
      </c>
      <c r="Q1" s="25" t="s">
        <v>455</v>
      </c>
      <c r="R1" s="10" t="s">
        <v>456</v>
      </c>
      <c r="S1" s="26" t="s">
        <v>457</v>
      </c>
      <c r="T1" s="16" t="s">
        <v>459</v>
      </c>
      <c r="U1" s="11" t="s">
        <v>465</v>
      </c>
      <c r="V1" s="14" t="s">
        <v>466</v>
      </c>
      <c r="W1" s="15" t="s">
        <v>467</v>
      </c>
    </row>
    <row r="2" spans="1:23" x14ac:dyDescent="0.3">
      <c r="A2" s="2" t="s">
        <v>0</v>
      </c>
      <c r="B2" s="1" t="s">
        <v>1</v>
      </c>
      <c r="C2" s="1" t="s">
        <v>2</v>
      </c>
      <c r="D2" s="1" t="s">
        <v>3</v>
      </c>
      <c r="E2" s="1">
        <v>1</v>
      </c>
      <c r="F2" s="1" t="s">
        <v>4</v>
      </c>
      <c r="G2" s="1">
        <v>92</v>
      </c>
      <c r="H2" s="1">
        <v>24</v>
      </c>
      <c r="I2" s="1">
        <v>65</v>
      </c>
      <c r="J2" s="3">
        <v>78</v>
      </c>
      <c r="K2" s="17" t="str">
        <f>IF(J2&gt;=60,"PASS","FAIL")</f>
        <v>PASS</v>
      </c>
      <c r="L2" s="21" t="str">
        <f>IF(B2="","NA",B2)</f>
        <v>Aarav Mehta</v>
      </c>
      <c r="M2" s="17" t="str">
        <f>IF(COUNTIF(A:A,A2)&gt;1,"DUPLICATE","UNIQUE")</f>
        <v>UNIQUE</v>
      </c>
      <c r="N2" s="23" t="str">
        <f>UPPER(B2)</f>
        <v>AARAV MEHTA</v>
      </c>
      <c r="O2" s="12" t="str">
        <f>LOWER(F:F)</f>
        <v>ahmedabad</v>
      </c>
      <c r="P2" s="14">
        <f>MAX(J2:J16)</f>
        <v>93</v>
      </c>
      <c r="Q2" s="13">
        <f>MIN(J2:J16)</f>
        <v>54</v>
      </c>
      <c r="R2" s="12">
        <f>VLOOKUP(A2,A:J,10,FALSE)</f>
        <v>78</v>
      </c>
      <c r="S2" s="17">
        <f>INDEX(J:J,MATCH(B2,B:B,0))</f>
        <v>78</v>
      </c>
      <c r="T2" s="14" t="str">
        <f>IF(AND(G2&gt;=75,J2&gt;=60),"Eligible","Not Eligible")</f>
        <v>Eligible</v>
      </c>
      <c r="U2" s="11">
        <f>COUNTA(A2:A150)</f>
        <v>149</v>
      </c>
      <c r="V2" s="14">
        <f>AVERAGE(J2:J150)</f>
        <v>74.885906040268452</v>
      </c>
      <c r="W2" s="15">
        <f>AVERAGE(G2:G20)</f>
        <v>78.684210526315795</v>
      </c>
    </row>
    <row r="3" spans="1:23" x14ac:dyDescent="0.3">
      <c r="A3" s="2" t="s">
        <v>5</v>
      </c>
      <c r="B3" s="1" t="s">
        <v>6</v>
      </c>
      <c r="C3" s="1" t="s">
        <v>7</v>
      </c>
      <c r="D3" s="1" t="s">
        <v>8</v>
      </c>
      <c r="E3" s="1">
        <v>2</v>
      </c>
      <c r="F3" s="1" t="s">
        <v>9</v>
      </c>
      <c r="G3" s="1">
        <v>88</v>
      </c>
      <c r="H3" s="1">
        <v>22</v>
      </c>
      <c r="I3" s="1">
        <v>61</v>
      </c>
      <c r="J3" s="3">
        <v>83</v>
      </c>
      <c r="K3" s="17" t="str">
        <f t="shared" ref="K3:K66" si="0">IF(J3&gt;=60,"PASS","FAIL")</f>
        <v>PASS</v>
      </c>
      <c r="L3" s="21" t="str">
        <f t="shared" ref="L3:L66" si="1">IF(B3="","NA",B3)</f>
        <v>Diya Patel</v>
      </c>
      <c r="M3" s="17" t="str">
        <f t="shared" ref="M3:M66" si="2">IF(COUNTIF(A:A,A3)&gt;1,"DUPLICATE","UNIQUE")</f>
        <v>UNIQUE</v>
      </c>
      <c r="N3" s="23" t="str">
        <f t="shared" ref="N3:N16" si="3">UPPER(B3)</f>
        <v>DIYA PATEL</v>
      </c>
      <c r="O3" s="12" t="str">
        <f t="shared" ref="O3:O16" si="4">LOWER(F:F)</f>
        <v>surat</v>
      </c>
      <c r="R3" s="12">
        <f t="shared" ref="R3:R9" si="5">VLOOKUP(A3,A:J,10,FALSE)</f>
        <v>83</v>
      </c>
      <c r="S3" s="17">
        <f t="shared" ref="S3:S9" si="6">INDEX(J:J,MATCH(B3,B:B,0))</f>
        <v>83</v>
      </c>
      <c r="T3" s="14" t="str">
        <f t="shared" ref="T3:T9" si="7">IF(AND(G3&gt;=75,J3&gt;=60),"Eligible","Not Eligible")</f>
        <v>Eligible</v>
      </c>
    </row>
    <row r="4" spans="1:23" x14ac:dyDescent="0.3">
      <c r="A4" s="2" t="s">
        <v>10</v>
      </c>
      <c r="B4" s="1" t="s">
        <v>11</v>
      </c>
      <c r="C4" s="1" t="s">
        <v>2</v>
      </c>
      <c r="D4" s="1" t="s">
        <v>12</v>
      </c>
      <c r="E4" s="1">
        <v>3</v>
      </c>
      <c r="F4" s="1" t="s">
        <v>13</v>
      </c>
      <c r="G4" s="1">
        <v>75</v>
      </c>
      <c r="H4" s="1">
        <v>18</v>
      </c>
      <c r="I4" s="1">
        <v>54</v>
      </c>
      <c r="J4" s="3">
        <v>72</v>
      </c>
      <c r="K4" s="17" t="str">
        <f t="shared" si="0"/>
        <v>PASS</v>
      </c>
      <c r="L4" s="21" t="str">
        <f t="shared" si="1"/>
        <v>Rohan Shah</v>
      </c>
      <c r="M4" s="17" t="str">
        <f t="shared" si="2"/>
        <v>UNIQUE</v>
      </c>
      <c r="N4" s="23" t="str">
        <f t="shared" si="3"/>
        <v>ROHAN SHAH</v>
      </c>
      <c r="O4" s="12" t="str">
        <f t="shared" si="4"/>
        <v>vadodara</v>
      </c>
      <c r="R4" s="12">
        <f t="shared" si="5"/>
        <v>72</v>
      </c>
      <c r="S4" s="17">
        <f t="shared" si="6"/>
        <v>72</v>
      </c>
      <c r="T4" s="14" t="str">
        <f t="shared" si="7"/>
        <v>Eligible</v>
      </c>
    </row>
    <row r="5" spans="1:23" x14ac:dyDescent="0.3">
      <c r="A5" s="2" t="s">
        <v>14</v>
      </c>
      <c r="B5" s="1" t="s">
        <v>15</v>
      </c>
      <c r="C5" s="1" t="s">
        <v>7</v>
      </c>
      <c r="D5" s="1" t="s">
        <v>3</v>
      </c>
      <c r="E5" s="1">
        <v>4</v>
      </c>
      <c r="F5" s="1" t="s">
        <v>16</v>
      </c>
      <c r="G5" s="1">
        <v>69</v>
      </c>
      <c r="H5" s="1">
        <v>16</v>
      </c>
      <c r="I5" s="1">
        <v>48</v>
      </c>
      <c r="J5" s="3">
        <v>64</v>
      </c>
      <c r="K5" s="17" t="str">
        <f t="shared" si="0"/>
        <v>PASS</v>
      </c>
      <c r="L5" s="21" t="str">
        <f t="shared" si="1"/>
        <v>Priya Verma</v>
      </c>
      <c r="M5" s="17" t="str">
        <f t="shared" si="2"/>
        <v>UNIQUE</v>
      </c>
      <c r="N5" s="23" t="str">
        <f t="shared" si="3"/>
        <v>PRIYA VERMA</v>
      </c>
      <c r="O5" s="12" t="str">
        <f t="shared" si="4"/>
        <v>jaipur</v>
      </c>
      <c r="R5" s="12">
        <f t="shared" si="5"/>
        <v>64</v>
      </c>
      <c r="S5" s="17">
        <f t="shared" si="6"/>
        <v>64</v>
      </c>
      <c r="T5" s="14" t="str">
        <f t="shared" si="7"/>
        <v>Not Eligible</v>
      </c>
    </row>
    <row r="6" spans="1:23" x14ac:dyDescent="0.3">
      <c r="A6" s="2" t="s">
        <v>17</v>
      </c>
      <c r="B6" s="1" t="s">
        <v>18</v>
      </c>
      <c r="C6" s="1" t="s">
        <v>2</v>
      </c>
      <c r="D6" s="1" t="s">
        <v>19</v>
      </c>
      <c r="E6" s="1">
        <v>1</v>
      </c>
      <c r="F6" s="1" t="s">
        <v>20</v>
      </c>
      <c r="G6" s="1">
        <v>81</v>
      </c>
      <c r="H6" s="1">
        <v>20</v>
      </c>
      <c r="I6" s="1">
        <v>57</v>
      </c>
      <c r="J6" s="3">
        <v>77</v>
      </c>
      <c r="K6" s="17" t="str">
        <f t="shared" si="0"/>
        <v>PASS</v>
      </c>
      <c r="L6" s="21" t="str">
        <f t="shared" si="1"/>
        <v>Kunal Joshi</v>
      </c>
      <c r="M6" s="17" t="str">
        <f t="shared" si="2"/>
        <v>UNIQUE</v>
      </c>
      <c r="N6" s="23" t="str">
        <f t="shared" si="3"/>
        <v>KUNAL JOSHI</v>
      </c>
      <c r="O6" s="12" t="str">
        <f t="shared" si="4"/>
        <v>pune</v>
      </c>
      <c r="R6" s="12">
        <f t="shared" si="5"/>
        <v>77</v>
      </c>
      <c r="S6" s="17">
        <f t="shared" si="6"/>
        <v>77</v>
      </c>
      <c r="T6" s="14" t="str">
        <f t="shared" si="7"/>
        <v>Eligible</v>
      </c>
    </row>
    <row r="7" spans="1:23" x14ac:dyDescent="0.3">
      <c r="A7" s="2" t="s">
        <v>21</v>
      </c>
      <c r="B7" s="1" t="s">
        <v>22</v>
      </c>
      <c r="C7" s="1" t="s">
        <v>7</v>
      </c>
      <c r="D7" s="1" t="s">
        <v>8</v>
      </c>
      <c r="E7" s="1">
        <v>5</v>
      </c>
      <c r="F7" s="1" t="s">
        <v>23</v>
      </c>
      <c r="G7" s="1">
        <v>95</v>
      </c>
      <c r="H7" s="1">
        <v>25</v>
      </c>
      <c r="I7" s="1">
        <v>68</v>
      </c>
      <c r="J7" s="3">
        <v>93</v>
      </c>
      <c r="K7" s="17" t="str">
        <f t="shared" si="0"/>
        <v>PASS</v>
      </c>
      <c r="L7" s="21" t="str">
        <f t="shared" si="1"/>
        <v>Ananya Rao</v>
      </c>
      <c r="M7" s="17" t="str">
        <f t="shared" si="2"/>
        <v>UNIQUE</v>
      </c>
      <c r="N7" s="23" t="str">
        <f t="shared" si="3"/>
        <v>ANANYA RAO</v>
      </c>
      <c r="O7" s="12" t="str">
        <f t="shared" si="4"/>
        <v>bangalore</v>
      </c>
      <c r="R7" s="12">
        <f t="shared" si="5"/>
        <v>93</v>
      </c>
      <c r="S7" s="17">
        <f t="shared" si="6"/>
        <v>93</v>
      </c>
      <c r="T7" s="14" t="str">
        <f t="shared" si="7"/>
        <v>Eligible</v>
      </c>
    </row>
    <row r="8" spans="1:23" x14ac:dyDescent="0.3">
      <c r="A8" s="2" t="s">
        <v>24</v>
      </c>
      <c r="B8" s="1" t="s">
        <v>25</v>
      </c>
      <c r="C8" s="1" t="s">
        <v>2</v>
      </c>
      <c r="D8" s="1" t="s">
        <v>3</v>
      </c>
      <c r="E8" s="1">
        <v>6</v>
      </c>
      <c r="F8" s="1" t="s">
        <v>26</v>
      </c>
      <c r="G8" s="1">
        <v>66</v>
      </c>
      <c r="H8" s="1">
        <v>15</v>
      </c>
      <c r="I8" s="1">
        <v>42</v>
      </c>
      <c r="J8" s="3">
        <v>57</v>
      </c>
      <c r="K8" s="17" t="str">
        <f t="shared" si="0"/>
        <v>FAIL</v>
      </c>
      <c r="L8" s="21" t="str">
        <f t="shared" si="1"/>
        <v>Vivaan Iyer</v>
      </c>
      <c r="M8" s="17" t="str">
        <f t="shared" si="2"/>
        <v>UNIQUE</v>
      </c>
      <c r="N8" s="23" t="str">
        <f t="shared" si="3"/>
        <v>VIVAAN IYER</v>
      </c>
      <c r="O8" s="12" t="str">
        <f t="shared" si="4"/>
        <v>chennai</v>
      </c>
      <c r="R8" s="12">
        <f t="shared" si="5"/>
        <v>57</v>
      </c>
      <c r="S8" s="17">
        <f t="shared" si="6"/>
        <v>57</v>
      </c>
      <c r="T8" s="14" t="str">
        <f t="shared" si="7"/>
        <v>Not Eligible</v>
      </c>
    </row>
    <row r="9" spans="1:23" x14ac:dyDescent="0.3">
      <c r="A9" s="2" t="s">
        <v>27</v>
      </c>
      <c r="B9" s="1" t="s">
        <v>28</v>
      </c>
      <c r="C9" s="1" t="s">
        <v>7</v>
      </c>
      <c r="D9" s="1" t="s">
        <v>12</v>
      </c>
      <c r="E9" s="1">
        <v>2</v>
      </c>
      <c r="F9" s="1" t="s">
        <v>29</v>
      </c>
      <c r="G9" s="1">
        <v>84</v>
      </c>
      <c r="H9" s="1">
        <v>21</v>
      </c>
      <c r="I9" s="1">
        <v>59</v>
      </c>
      <c r="J9" s="3">
        <v>80</v>
      </c>
      <c r="K9" s="17" t="str">
        <f t="shared" si="0"/>
        <v>PASS</v>
      </c>
      <c r="L9" s="21" t="str">
        <f t="shared" si="1"/>
        <v>Isha Kapoor</v>
      </c>
      <c r="M9" s="17" t="str">
        <f t="shared" si="2"/>
        <v>UNIQUE</v>
      </c>
      <c r="N9" s="23" t="str">
        <f t="shared" si="3"/>
        <v>ISHA KAPOOR</v>
      </c>
      <c r="O9" s="12" t="str">
        <f t="shared" si="4"/>
        <v>delhi</v>
      </c>
      <c r="R9" s="12">
        <f t="shared" si="5"/>
        <v>80</v>
      </c>
      <c r="S9" s="17">
        <f t="shared" si="6"/>
        <v>80</v>
      </c>
      <c r="T9" s="14" t="str">
        <f t="shared" si="7"/>
        <v>Eligible</v>
      </c>
    </row>
    <row r="10" spans="1:23" x14ac:dyDescent="0.3">
      <c r="A10" s="2" t="s">
        <v>30</v>
      </c>
      <c r="B10" s="1" t="s">
        <v>31</v>
      </c>
      <c r="C10" s="1" t="s">
        <v>2</v>
      </c>
      <c r="D10" s="1" t="s">
        <v>19</v>
      </c>
      <c r="E10" s="1">
        <v>3</v>
      </c>
      <c r="F10" s="1" t="s">
        <v>32</v>
      </c>
      <c r="G10" s="1">
        <v>78</v>
      </c>
      <c r="H10" s="1">
        <v>19</v>
      </c>
      <c r="I10" s="1">
        <v>55</v>
      </c>
      <c r="J10" s="3">
        <v>74</v>
      </c>
      <c r="K10" s="17" t="str">
        <f t="shared" si="0"/>
        <v>PASS</v>
      </c>
      <c r="L10" s="21" t="str">
        <f t="shared" si="1"/>
        <v>Arjun Malhotra</v>
      </c>
      <c r="M10" s="17" t="str">
        <f t="shared" si="2"/>
        <v>UNIQUE</v>
      </c>
      <c r="N10" s="23" t="str">
        <f t="shared" si="3"/>
        <v>ARJUN MALHOTRA</v>
      </c>
      <c r="O10" s="12" t="str">
        <f t="shared" si="4"/>
        <v>noida</v>
      </c>
    </row>
    <row r="11" spans="1:23" x14ac:dyDescent="0.3">
      <c r="A11" s="2" t="s">
        <v>33</v>
      </c>
      <c r="B11" s="1" t="s">
        <v>34</v>
      </c>
      <c r="C11" s="1" t="s">
        <v>7</v>
      </c>
      <c r="D11" s="1" t="s">
        <v>3</v>
      </c>
      <c r="E11" s="1">
        <v>4</v>
      </c>
      <c r="F11" s="1" t="s">
        <v>35</v>
      </c>
      <c r="G11" s="1">
        <v>71</v>
      </c>
      <c r="H11" s="1">
        <v>17</v>
      </c>
      <c r="I11" s="1">
        <v>49</v>
      </c>
      <c r="J11" s="3">
        <v>66</v>
      </c>
      <c r="K11" s="17" t="str">
        <f t="shared" si="0"/>
        <v>PASS</v>
      </c>
      <c r="L11" s="21" t="str">
        <f t="shared" si="1"/>
        <v>Neha Singh</v>
      </c>
      <c r="M11" s="17" t="str">
        <f t="shared" si="2"/>
        <v>UNIQUE</v>
      </c>
      <c r="N11" s="23" t="str">
        <f t="shared" si="3"/>
        <v>NEHA SINGH</v>
      </c>
      <c r="O11" s="12" t="str">
        <f t="shared" si="4"/>
        <v>lucknow</v>
      </c>
    </row>
    <row r="12" spans="1:23" x14ac:dyDescent="0.3">
      <c r="A12" s="2" t="s">
        <v>36</v>
      </c>
      <c r="B12" s="1" t="s">
        <v>37</v>
      </c>
      <c r="C12" s="1" t="s">
        <v>2</v>
      </c>
      <c r="D12" s="1" t="s">
        <v>8</v>
      </c>
      <c r="E12" s="1">
        <v>1</v>
      </c>
      <c r="F12" s="1" t="s">
        <v>38</v>
      </c>
      <c r="G12" s="1">
        <v>90</v>
      </c>
      <c r="H12" s="1">
        <v>23</v>
      </c>
      <c r="I12" s="1">
        <v>64</v>
      </c>
      <c r="J12" s="3">
        <v>87</v>
      </c>
      <c r="K12" s="17" t="str">
        <f t="shared" si="0"/>
        <v>PASS</v>
      </c>
      <c r="L12" s="21" t="str">
        <f t="shared" si="1"/>
        <v>Siddharth Jain</v>
      </c>
      <c r="M12" s="17" t="str">
        <f t="shared" si="2"/>
        <v>UNIQUE</v>
      </c>
      <c r="N12" s="23" t="str">
        <f t="shared" si="3"/>
        <v>SIDDHARTH JAIN</v>
      </c>
      <c r="O12" s="12" t="str">
        <f t="shared" si="4"/>
        <v>indore</v>
      </c>
    </row>
    <row r="13" spans="1:23" x14ac:dyDescent="0.3">
      <c r="A13" s="2" t="s">
        <v>39</v>
      </c>
      <c r="B13" s="1" t="s">
        <v>40</v>
      </c>
      <c r="C13" s="1" t="s">
        <v>7</v>
      </c>
      <c r="D13" s="1" t="s">
        <v>12</v>
      </c>
      <c r="E13" s="1">
        <v>5</v>
      </c>
      <c r="F13" s="1" t="s">
        <v>41</v>
      </c>
      <c r="G13" s="1">
        <v>86</v>
      </c>
      <c r="H13" s="1">
        <v>22</v>
      </c>
      <c r="I13" s="1">
        <v>60</v>
      </c>
      <c r="J13" s="3">
        <v>82</v>
      </c>
      <c r="K13" s="17" t="str">
        <f t="shared" si="0"/>
        <v>PASS</v>
      </c>
      <c r="L13" s="21" t="str">
        <f t="shared" si="1"/>
        <v>Pooja Nair</v>
      </c>
      <c r="M13" s="17" t="str">
        <f t="shared" si="2"/>
        <v>UNIQUE</v>
      </c>
      <c r="N13" s="23" t="str">
        <f t="shared" si="3"/>
        <v>POOJA NAIR</v>
      </c>
      <c r="O13" s="12" t="str">
        <f t="shared" si="4"/>
        <v>kochi</v>
      </c>
    </row>
    <row r="14" spans="1:23" x14ac:dyDescent="0.3">
      <c r="A14" s="2" t="s">
        <v>42</v>
      </c>
      <c r="B14" s="1" t="s">
        <v>43</v>
      </c>
      <c r="C14" s="1" t="s">
        <v>2</v>
      </c>
      <c r="D14" s="1" t="s">
        <v>19</v>
      </c>
      <c r="E14" s="1">
        <v>6</v>
      </c>
      <c r="F14" s="1" t="s">
        <v>44</v>
      </c>
      <c r="G14" s="1">
        <v>68</v>
      </c>
      <c r="H14" s="1">
        <v>16</v>
      </c>
      <c r="I14" s="1">
        <v>45</v>
      </c>
      <c r="J14" s="3">
        <v>61</v>
      </c>
      <c r="K14" s="17" t="str">
        <f t="shared" si="0"/>
        <v>PASS</v>
      </c>
      <c r="L14" s="21" t="str">
        <f t="shared" si="1"/>
        <v>Aditya Kulkarni</v>
      </c>
      <c r="M14" s="17" t="str">
        <f t="shared" si="2"/>
        <v>UNIQUE</v>
      </c>
      <c r="N14" s="23" t="str">
        <f t="shared" si="3"/>
        <v>ADITYA KULKARNI</v>
      </c>
      <c r="O14" s="12" t="str">
        <f t="shared" si="4"/>
        <v>nagpur</v>
      </c>
    </row>
    <row r="15" spans="1:23" x14ac:dyDescent="0.3">
      <c r="A15" s="2" t="s">
        <v>45</v>
      </c>
      <c r="B15" s="1" t="s">
        <v>46</v>
      </c>
      <c r="C15" s="1" t="s">
        <v>7</v>
      </c>
      <c r="D15" s="1" t="s">
        <v>3</v>
      </c>
      <c r="E15" s="1">
        <v>2</v>
      </c>
      <c r="F15" s="1" t="s">
        <v>47</v>
      </c>
      <c r="G15" s="1">
        <v>74</v>
      </c>
      <c r="H15" s="1">
        <v>18</v>
      </c>
      <c r="I15" s="1">
        <v>52</v>
      </c>
      <c r="J15" s="3">
        <v>70</v>
      </c>
      <c r="K15" s="17" t="str">
        <f t="shared" si="0"/>
        <v>PASS</v>
      </c>
      <c r="L15" s="21" t="str">
        <f t="shared" si="1"/>
        <v>Kavya Bansal</v>
      </c>
      <c r="M15" s="17" t="str">
        <f t="shared" si="2"/>
        <v>UNIQUE</v>
      </c>
      <c r="N15" s="23" t="str">
        <f t="shared" si="3"/>
        <v>KAVYA BANSAL</v>
      </c>
      <c r="O15" s="12" t="str">
        <f t="shared" si="4"/>
        <v>chandigarh</v>
      </c>
    </row>
    <row r="16" spans="1:23" x14ac:dyDescent="0.3">
      <c r="A16" s="2" t="s">
        <v>48</v>
      </c>
      <c r="B16" s="1" t="s">
        <v>49</v>
      </c>
      <c r="C16" s="1" t="s">
        <v>2</v>
      </c>
      <c r="D16" s="1" t="s">
        <v>8</v>
      </c>
      <c r="E16" s="1">
        <v>3</v>
      </c>
      <c r="F16" s="1" t="s">
        <v>50</v>
      </c>
      <c r="G16" s="1">
        <v>63</v>
      </c>
      <c r="H16" s="1">
        <v>14</v>
      </c>
      <c r="I16" s="1">
        <v>40</v>
      </c>
      <c r="J16" s="3">
        <v>54</v>
      </c>
      <c r="K16" s="17" t="str">
        <f t="shared" si="0"/>
        <v>FAIL</v>
      </c>
      <c r="L16" s="21" t="str">
        <f t="shared" si="1"/>
        <v>Manish Gupta</v>
      </c>
      <c r="M16" s="17" t="str">
        <f t="shared" si="2"/>
        <v>UNIQUE</v>
      </c>
      <c r="N16" s="23" t="str">
        <f t="shared" si="3"/>
        <v>MANISH GUPTA</v>
      </c>
      <c r="O16" s="12" t="str">
        <f t="shared" si="4"/>
        <v>kanpur</v>
      </c>
    </row>
    <row r="17" spans="1:13" x14ac:dyDescent="0.3">
      <c r="A17" s="2" t="s">
        <v>51</v>
      </c>
      <c r="B17" s="1" t="s">
        <v>52</v>
      </c>
      <c r="C17" s="1" t="s">
        <v>7</v>
      </c>
      <c r="D17" s="1" t="s">
        <v>19</v>
      </c>
      <c r="E17" s="1">
        <v>4</v>
      </c>
      <c r="F17" s="1" t="s">
        <v>53</v>
      </c>
      <c r="G17" s="1">
        <v>89</v>
      </c>
      <c r="H17" s="1">
        <v>23</v>
      </c>
      <c r="I17" s="1">
        <v>63</v>
      </c>
      <c r="J17" s="3">
        <v>86</v>
      </c>
      <c r="K17" s="17" t="str">
        <f t="shared" si="0"/>
        <v>PASS</v>
      </c>
      <c r="L17" s="21" t="str">
        <f t="shared" si="1"/>
        <v>Ritika Arora</v>
      </c>
      <c r="M17" s="17" t="str">
        <f t="shared" si="2"/>
        <v>UNIQUE</v>
      </c>
    </row>
    <row r="18" spans="1:13" x14ac:dyDescent="0.3">
      <c r="A18" s="2" t="s">
        <v>54</v>
      </c>
      <c r="B18" s="1" t="s">
        <v>55</v>
      </c>
      <c r="C18" s="1" t="s">
        <v>2</v>
      </c>
      <c r="D18" s="1" t="s">
        <v>3</v>
      </c>
      <c r="E18" s="1">
        <v>5</v>
      </c>
      <c r="F18" s="1" t="s">
        <v>56</v>
      </c>
      <c r="G18" s="1">
        <v>77</v>
      </c>
      <c r="H18" s="1">
        <v>19</v>
      </c>
      <c r="I18" s="1">
        <v>56</v>
      </c>
      <c r="J18" s="3">
        <v>75</v>
      </c>
      <c r="K18" s="17" t="str">
        <f t="shared" si="0"/>
        <v>PASS</v>
      </c>
      <c r="L18" s="21" t="str">
        <f t="shared" si="1"/>
        <v>Amit Tiwari</v>
      </c>
      <c r="M18" s="17" t="str">
        <f t="shared" si="2"/>
        <v>UNIQUE</v>
      </c>
    </row>
    <row r="19" spans="1:13" x14ac:dyDescent="0.3">
      <c r="A19" s="2" t="s">
        <v>57</v>
      </c>
      <c r="B19" s="1" t="s">
        <v>58</v>
      </c>
      <c r="C19" s="1" t="s">
        <v>7</v>
      </c>
      <c r="D19" s="1" t="s">
        <v>12</v>
      </c>
      <c r="E19" s="1">
        <v>6</v>
      </c>
      <c r="F19" s="1" t="s">
        <v>59</v>
      </c>
      <c r="G19" s="1">
        <v>82</v>
      </c>
      <c r="H19" s="1">
        <v>21</v>
      </c>
      <c r="I19" s="1">
        <v>58</v>
      </c>
      <c r="J19" s="3">
        <v>79</v>
      </c>
      <c r="K19" s="17" t="str">
        <f t="shared" si="0"/>
        <v>PASS</v>
      </c>
      <c r="L19" s="21" t="str">
        <f t="shared" si="1"/>
        <v>Sneha Patil</v>
      </c>
      <c r="M19" s="17" t="str">
        <f t="shared" si="2"/>
        <v>UNIQUE</v>
      </c>
    </row>
    <row r="20" spans="1:13" x14ac:dyDescent="0.3">
      <c r="A20" s="2" t="s">
        <v>60</v>
      </c>
      <c r="B20" s="1" t="s">
        <v>61</v>
      </c>
      <c r="C20" s="1" t="s">
        <v>2</v>
      </c>
      <c r="D20" s="1" t="s">
        <v>8</v>
      </c>
      <c r="E20" s="1">
        <v>2</v>
      </c>
      <c r="F20" s="1" t="s">
        <v>62</v>
      </c>
      <c r="G20" s="1">
        <v>67</v>
      </c>
      <c r="H20" s="1">
        <v>15</v>
      </c>
      <c r="I20" s="1">
        <v>44</v>
      </c>
      <c r="J20" s="3">
        <v>59</v>
      </c>
      <c r="K20" s="17" t="str">
        <f t="shared" si="0"/>
        <v>FAIL</v>
      </c>
      <c r="L20" s="21" t="str">
        <f t="shared" si="1"/>
        <v>Rahul Choudhary</v>
      </c>
      <c r="M20" s="17" t="str">
        <f t="shared" si="2"/>
        <v>UNIQUE</v>
      </c>
    </row>
    <row r="21" spans="1:13" x14ac:dyDescent="0.3">
      <c r="A21" s="2" t="s">
        <v>63</v>
      </c>
      <c r="B21" s="1" t="s">
        <v>64</v>
      </c>
      <c r="C21" s="1" t="s">
        <v>7</v>
      </c>
      <c r="D21" s="1" t="s">
        <v>19</v>
      </c>
      <c r="E21" s="1">
        <v>3</v>
      </c>
      <c r="F21" s="1" t="s">
        <v>65</v>
      </c>
      <c r="G21" s="1">
        <v>91</v>
      </c>
      <c r="H21" s="1">
        <v>24</v>
      </c>
      <c r="I21" s="1">
        <v>66</v>
      </c>
      <c r="J21" s="3">
        <v>90</v>
      </c>
      <c r="K21" s="17" t="str">
        <f t="shared" si="0"/>
        <v>PASS</v>
      </c>
      <c r="L21" s="21" t="str">
        <f t="shared" si="1"/>
        <v>Meera Desai</v>
      </c>
      <c r="M21" s="17" t="str">
        <f t="shared" si="2"/>
        <v>UNIQUE</v>
      </c>
    </row>
    <row r="22" spans="1:13" x14ac:dyDescent="0.3">
      <c r="A22" s="2" t="s">
        <v>66</v>
      </c>
      <c r="B22" s="1" t="s">
        <v>67</v>
      </c>
      <c r="C22" s="1" t="s">
        <v>2</v>
      </c>
      <c r="D22" s="1" t="s">
        <v>3</v>
      </c>
      <c r="E22" s="1">
        <v>4</v>
      </c>
      <c r="F22" s="1" t="s">
        <v>68</v>
      </c>
      <c r="G22" s="1">
        <v>73</v>
      </c>
      <c r="H22" s="1">
        <v>18</v>
      </c>
      <c r="I22" s="1">
        <v>51</v>
      </c>
      <c r="J22" s="3">
        <v>69</v>
      </c>
      <c r="K22" s="17" t="str">
        <f t="shared" si="0"/>
        <v>PASS</v>
      </c>
      <c r="L22" s="21" t="str">
        <f t="shared" si="1"/>
        <v>Nikhil Soni</v>
      </c>
      <c r="M22" s="17" t="str">
        <f t="shared" si="2"/>
        <v>UNIQUE</v>
      </c>
    </row>
    <row r="23" spans="1:13" x14ac:dyDescent="0.3">
      <c r="A23" s="2" t="s">
        <v>69</v>
      </c>
      <c r="B23" s="1" t="s">
        <v>70</v>
      </c>
      <c r="C23" s="1" t="s">
        <v>7</v>
      </c>
      <c r="D23" s="1" t="s">
        <v>12</v>
      </c>
      <c r="E23" s="1">
        <v>1</v>
      </c>
      <c r="F23" s="1" t="s">
        <v>71</v>
      </c>
      <c r="G23" s="1">
        <v>85</v>
      </c>
      <c r="H23" s="1">
        <v>22</v>
      </c>
      <c r="I23" s="1">
        <v>60</v>
      </c>
      <c r="J23" s="3">
        <v>82</v>
      </c>
      <c r="K23" s="17" t="str">
        <f t="shared" si="0"/>
        <v>PASS</v>
      </c>
      <c r="L23" s="21" t="str">
        <f t="shared" si="1"/>
        <v>Palak Trivedi</v>
      </c>
      <c r="M23" s="17" t="str">
        <f t="shared" si="2"/>
        <v>UNIQUE</v>
      </c>
    </row>
    <row r="24" spans="1:13" x14ac:dyDescent="0.3">
      <c r="A24" s="2" t="s">
        <v>72</v>
      </c>
      <c r="B24" s="1" t="s">
        <v>73</v>
      </c>
      <c r="C24" s="1" t="s">
        <v>2</v>
      </c>
      <c r="D24" s="1" t="s">
        <v>8</v>
      </c>
      <c r="E24" s="1">
        <v>5</v>
      </c>
      <c r="F24" s="1" t="s">
        <v>74</v>
      </c>
      <c r="G24" s="1">
        <v>79</v>
      </c>
      <c r="H24" s="1">
        <v>20</v>
      </c>
      <c r="I24" s="1">
        <v>57</v>
      </c>
      <c r="J24" s="3">
        <v>77</v>
      </c>
      <c r="K24" s="17" t="str">
        <f t="shared" si="0"/>
        <v>PASS</v>
      </c>
      <c r="L24" s="21" t="str">
        <f t="shared" si="1"/>
        <v>Akash Rana</v>
      </c>
      <c r="M24" s="17" t="str">
        <f t="shared" si="2"/>
        <v>UNIQUE</v>
      </c>
    </row>
    <row r="25" spans="1:13" x14ac:dyDescent="0.3">
      <c r="A25" s="2" t="s">
        <v>75</v>
      </c>
      <c r="B25" s="1" t="s">
        <v>76</v>
      </c>
      <c r="C25" s="1" t="s">
        <v>7</v>
      </c>
      <c r="D25" s="1" t="s">
        <v>19</v>
      </c>
      <c r="E25" s="1">
        <v>6</v>
      </c>
      <c r="F25" s="1" t="s">
        <v>77</v>
      </c>
      <c r="G25" s="1">
        <v>64</v>
      </c>
      <c r="H25" s="1">
        <v>14</v>
      </c>
      <c r="I25" s="1">
        <v>41</v>
      </c>
      <c r="J25" s="3">
        <v>55</v>
      </c>
      <c r="K25" s="17" t="str">
        <f t="shared" si="0"/>
        <v>FAIL</v>
      </c>
      <c r="L25" s="21" t="str">
        <f t="shared" si="1"/>
        <v>Tanvi Kulkarni</v>
      </c>
      <c r="M25" s="17" t="str">
        <f t="shared" si="2"/>
        <v>UNIQUE</v>
      </c>
    </row>
    <row r="26" spans="1:13" x14ac:dyDescent="0.3">
      <c r="A26" s="2" t="s">
        <v>78</v>
      </c>
      <c r="B26" s="1" t="s">
        <v>79</v>
      </c>
      <c r="C26" s="1" t="s">
        <v>2</v>
      </c>
      <c r="D26" s="1" t="s">
        <v>3</v>
      </c>
      <c r="E26" s="1">
        <v>2</v>
      </c>
      <c r="F26" s="1" t="s">
        <v>80</v>
      </c>
      <c r="G26" s="1">
        <v>88</v>
      </c>
      <c r="H26" s="1">
        <v>23</v>
      </c>
      <c r="I26" s="1">
        <v>62</v>
      </c>
      <c r="J26" s="3">
        <v>85</v>
      </c>
      <c r="K26" s="17" t="str">
        <f t="shared" si="0"/>
        <v>PASS</v>
      </c>
      <c r="L26" s="21" t="str">
        <f t="shared" si="1"/>
        <v>Mohit Aggarwal</v>
      </c>
      <c r="M26" s="17" t="str">
        <f t="shared" si="2"/>
        <v>UNIQUE</v>
      </c>
    </row>
    <row r="27" spans="1:13" x14ac:dyDescent="0.3">
      <c r="A27" s="2" t="s">
        <v>81</v>
      </c>
      <c r="B27" s="1" t="s">
        <v>82</v>
      </c>
      <c r="C27" s="1" t="s">
        <v>7</v>
      </c>
      <c r="D27" s="1" t="s">
        <v>12</v>
      </c>
      <c r="E27" s="1">
        <v>3</v>
      </c>
      <c r="F27" s="1" t="s">
        <v>83</v>
      </c>
      <c r="G27" s="1">
        <v>70</v>
      </c>
      <c r="H27" s="1">
        <v>17</v>
      </c>
      <c r="I27" s="1">
        <v>50</v>
      </c>
      <c r="J27" s="3">
        <v>67</v>
      </c>
      <c r="K27" s="17" t="str">
        <f t="shared" si="0"/>
        <v>PASS</v>
      </c>
      <c r="L27" s="21" t="str">
        <f t="shared" si="1"/>
        <v>Sonal Mishra</v>
      </c>
      <c r="M27" s="17" t="str">
        <f t="shared" si="2"/>
        <v>UNIQUE</v>
      </c>
    </row>
    <row r="28" spans="1:13" x14ac:dyDescent="0.3">
      <c r="A28" s="2" t="s">
        <v>84</v>
      </c>
      <c r="B28" s="1" t="s">
        <v>85</v>
      </c>
      <c r="C28" s="1" t="s">
        <v>2</v>
      </c>
      <c r="D28" s="1" t="s">
        <v>8</v>
      </c>
      <c r="E28" s="1">
        <v>4</v>
      </c>
      <c r="F28" s="1" t="s">
        <v>86</v>
      </c>
      <c r="G28" s="1">
        <v>76</v>
      </c>
      <c r="H28" s="1">
        <v>19</v>
      </c>
      <c r="I28" s="1">
        <v>54</v>
      </c>
      <c r="J28" s="3">
        <v>73</v>
      </c>
      <c r="K28" s="17" t="str">
        <f t="shared" si="0"/>
        <v>PASS</v>
      </c>
      <c r="L28" s="21" t="str">
        <f t="shared" si="1"/>
        <v>Harsh Vardhan</v>
      </c>
      <c r="M28" s="17" t="str">
        <f t="shared" si="2"/>
        <v>UNIQUE</v>
      </c>
    </row>
    <row r="29" spans="1:13" x14ac:dyDescent="0.3">
      <c r="A29" s="2" t="s">
        <v>87</v>
      </c>
      <c r="B29" s="1" t="s">
        <v>88</v>
      </c>
      <c r="C29" s="1" t="s">
        <v>7</v>
      </c>
      <c r="D29" s="1" t="s">
        <v>19</v>
      </c>
      <c r="E29" s="1">
        <v>5</v>
      </c>
      <c r="F29" s="1" t="s">
        <v>89</v>
      </c>
      <c r="G29" s="1">
        <v>93</v>
      </c>
      <c r="H29" s="1">
        <v>25</v>
      </c>
      <c r="I29" s="1">
        <v>69</v>
      </c>
      <c r="J29" s="3">
        <v>94</v>
      </c>
      <c r="K29" s="17" t="str">
        <f t="shared" si="0"/>
        <v>PASS</v>
      </c>
      <c r="L29" s="21" t="str">
        <f t="shared" si="1"/>
        <v>Riya Chatterjee</v>
      </c>
      <c r="M29" s="17" t="str">
        <f t="shared" si="2"/>
        <v>UNIQUE</v>
      </c>
    </row>
    <row r="30" spans="1:13" x14ac:dyDescent="0.3">
      <c r="A30" s="2" t="s">
        <v>90</v>
      </c>
      <c r="B30" s="1" t="s">
        <v>91</v>
      </c>
      <c r="C30" s="1" t="s">
        <v>2</v>
      </c>
      <c r="D30" s="1" t="s">
        <v>3</v>
      </c>
      <c r="E30" s="1">
        <v>6</v>
      </c>
      <c r="F30" s="1" t="s">
        <v>92</v>
      </c>
      <c r="G30" s="1">
        <v>62</v>
      </c>
      <c r="H30" s="1">
        <v>13</v>
      </c>
      <c r="I30" s="1">
        <v>39</v>
      </c>
      <c r="J30" s="3">
        <v>52</v>
      </c>
      <c r="K30" s="17" t="str">
        <f t="shared" si="0"/>
        <v>FAIL</v>
      </c>
      <c r="L30" s="21" t="str">
        <f t="shared" si="1"/>
        <v>Varun Khanna</v>
      </c>
      <c r="M30" s="17" t="str">
        <f t="shared" si="2"/>
        <v>UNIQUE</v>
      </c>
    </row>
    <row r="31" spans="1:13" x14ac:dyDescent="0.3">
      <c r="A31" s="2" t="s">
        <v>93</v>
      </c>
      <c r="B31" s="1" t="s">
        <v>94</v>
      </c>
      <c r="C31" s="1" t="s">
        <v>7</v>
      </c>
      <c r="D31" s="1" t="s">
        <v>12</v>
      </c>
      <c r="E31" s="1">
        <v>2</v>
      </c>
      <c r="F31" s="1" t="s">
        <v>95</v>
      </c>
      <c r="G31" s="1">
        <v>87</v>
      </c>
      <c r="H31" s="1">
        <v>22</v>
      </c>
      <c r="I31" s="1">
        <v>61</v>
      </c>
      <c r="J31" s="3">
        <v>83</v>
      </c>
      <c r="K31" s="17" t="str">
        <f t="shared" si="0"/>
        <v>PASS</v>
      </c>
      <c r="L31" s="21" t="str">
        <f t="shared" si="1"/>
        <v>Nisha Pandey</v>
      </c>
      <c r="M31" s="17" t="str">
        <f t="shared" si="2"/>
        <v>UNIQUE</v>
      </c>
    </row>
    <row r="32" spans="1:13" x14ac:dyDescent="0.3">
      <c r="A32" s="2" t="s">
        <v>96</v>
      </c>
      <c r="B32" s="1" t="s">
        <v>97</v>
      </c>
      <c r="C32" s="1" t="s">
        <v>2</v>
      </c>
      <c r="D32" s="1" t="s">
        <v>3</v>
      </c>
      <c r="E32" s="1">
        <v>1</v>
      </c>
      <c r="F32" s="1" t="s">
        <v>98</v>
      </c>
      <c r="G32" s="1">
        <v>80</v>
      </c>
      <c r="H32" s="1">
        <v>20</v>
      </c>
      <c r="I32" s="1">
        <v>56</v>
      </c>
      <c r="J32" s="3">
        <v>76</v>
      </c>
      <c r="K32" s="17" t="str">
        <f t="shared" si="0"/>
        <v>PASS</v>
      </c>
      <c r="L32" s="21" t="str">
        <f t="shared" si="1"/>
        <v>Dev Arora</v>
      </c>
      <c r="M32" s="17" t="str">
        <f t="shared" si="2"/>
        <v>UNIQUE</v>
      </c>
    </row>
    <row r="33" spans="1:13" x14ac:dyDescent="0.3">
      <c r="A33" s="2" t="s">
        <v>99</v>
      </c>
      <c r="B33" s="1" t="s">
        <v>100</v>
      </c>
      <c r="C33" s="1" t="s">
        <v>7</v>
      </c>
      <c r="D33" s="1" t="s">
        <v>8</v>
      </c>
      <c r="E33" s="1">
        <v>2</v>
      </c>
      <c r="F33" s="1" t="s">
        <v>101</v>
      </c>
      <c r="G33" s="1">
        <v>72</v>
      </c>
      <c r="H33" s="1">
        <v>18</v>
      </c>
      <c r="I33" s="1">
        <v>50</v>
      </c>
      <c r="J33" s="3">
        <v>68</v>
      </c>
      <c r="K33" s="17" t="str">
        <f t="shared" si="0"/>
        <v>PASS</v>
      </c>
      <c r="L33" s="21" t="str">
        <f t="shared" si="1"/>
        <v>Simran Kaur</v>
      </c>
      <c r="M33" s="17" t="str">
        <f t="shared" si="2"/>
        <v>UNIQUE</v>
      </c>
    </row>
    <row r="34" spans="1:13" x14ac:dyDescent="0.3">
      <c r="A34" s="2" t="s">
        <v>102</v>
      </c>
      <c r="B34" s="1" t="s">
        <v>103</v>
      </c>
      <c r="C34" s="1" t="s">
        <v>2</v>
      </c>
      <c r="D34" s="1" t="s">
        <v>19</v>
      </c>
      <c r="E34" s="1">
        <v>3</v>
      </c>
      <c r="F34" s="1" t="s">
        <v>104</v>
      </c>
      <c r="G34" s="1">
        <v>83</v>
      </c>
      <c r="H34" s="1">
        <v>21</v>
      </c>
      <c r="I34" s="1">
        <v>58</v>
      </c>
      <c r="J34" s="3">
        <v>79</v>
      </c>
      <c r="K34" s="17" t="str">
        <f t="shared" si="0"/>
        <v>PASS</v>
      </c>
      <c r="L34" s="21" t="str">
        <f t="shared" si="1"/>
        <v>Yash Patel</v>
      </c>
      <c r="M34" s="17" t="str">
        <f t="shared" si="2"/>
        <v>UNIQUE</v>
      </c>
    </row>
    <row r="35" spans="1:13" x14ac:dyDescent="0.3">
      <c r="A35" s="2" t="s">
        <v>105</v>
      </c>
      <c r="B35" s="1" t="s">
        <v>106</v>
      </c>
      <c r="C35" s="1" t="s">
        <v>7</v>
      </c>
      <c r="D35" s="1" t="s">
        <v>12</v>
      </c>
      <c r="E35" s="1">
        <v>4</v>
      </c>
      <c r="F35" s="1" t="s">
        <v>107</v>
      </c>
      <c r="G35" s="1">
        <v>65</v>
      </c>
      <c r="H35" s="1">
        <v>15</v>
      </c>
      <c r="I35" s="1">
        <v>43</v>
      </c>
      <c r="J35" s="3">
        <v>58</v>
      </c>
      <c r="K35" s="17" t="str">
        <f t="shared" si="0"/>
        <v>FAIL</v>
      </c>
      <c r="L35" s="21" t="str">
        <f t="shared" si="1"/>
        <v>Komal Joshi</v>
      </c>
      <c r="M35" s="17" t="str">
        <f t="shared" si="2"/>
        <v>UNIQUE</v>
      </c>
    </row>
    <row r="36" spans="1:13" x14ac:dyDescent="0.3">
      <c r="A36" s="2" t="s">
        <v>108</v>
      </c>
      <c r="B36" s="1" t="s">
        <v>109</v>
      </c>
      <c r="C36" s="1" t="s">
        <v>2</v>
      </c>
      <c r="D36" s="1" t="s">
        <v>3</v>
      </c>
      <c r="E36" s="1">
        <v>5</v>
      </c>
      <c r="F36" s="1" t="s">
        <v>110</v>
      </c>
      <c r="G36" s="1">
        <v>90</v>
      </c>
      <c r="H36" s="1">
        <v>24</v>
      </c>
      <c r="I36" s="1">
        <v>65</v>
      </c>
      <c r="J36" s="3">
        <v>89</v>
      </c>
      <c r="K36" s="17" t="str">
        <f t="shared" si="0"/>
        <v>PASS</v>
      </c>
      <c r="L36" s="21" t="str">
        <f t="shared" si="1"/>
        <v>Raj Malhotra</v>
      </c>
      <c r="M36" s="17" t="str">
        <f t="shared" si="2"/>
        <v>UNIQUE</v>
      </c>
    </row>
    <row r="37" spans="1:13" x14ac:dyDescent="0.3">
      <c r="A37" s="2" t="s">
        <v>111</v>
      </c>
      <c r="B37" s="1" t="s">
        <v>112</v>
      </c>
      <c r="C37" s="1" t="s">
        <v>7</v>
      </c>
      <c r="D37" s="1" t="s">
        <v>8</v>
      </c>
      <c r="E37" s="1">
        <v>6</v>
      </c>
      <c r="F37" s="1" t="s">
        <v>62</v>
      </c>
      <c r="G37" s="1">
        <v>78</v>
      </c>
      <c r="H37" s="1">
        <v>19</v>
      </c>
      <c r="I37" s="1">
        <v>55</v>
      </c>
      <c r="J37" s="3">
        <v>74</v>
      </c>
      <c r="K37" s="17" t="str">
        <f t="shared" si="0"/>
        <v>PASS</v>
      </c>
      <c r="L37" s="21" t="str">
        <f t="shared" si="1"/>
        <v>Ayesha Khan</v>
      </c>
      <c r="M37" s="17" t="str">
        <f t="shared" si="2"/>
        <v>UNIQUE</v>
      </c>
    </row>
    <row r="38" spans="1:13" x14ac:dyDescent="0.3">
      <c r="A38" s="2" t="s">
        <v>113</v>
      </c>
      <c r="B38" s="1" t="s">
        <v>114</v>
      </c>
      <c r="C38" s="1" t="s">
        <v>2</v>
      </c>
      <c r="D38" s="1" t="s">
        <v>19</v>
      </c>
      <c r="E38" s="1">
        <v>1</v>
      </c>
      <c r="F38" s="1" t="s">
        <v>115</v>
      </c>
      <c r="G38" s="1">
        <v>69</v>
      </c>
      <c r="H38" s="1">
        <v>16</v>
      </c>
      <c r="I38" s="1">
        <v>47</v>
      </c>
      <c r="J38" s="3">
        <v>63</v>
      </c>
      <c r="K38" s="17" t="str">
        <f t="shared" si="0"/>
        <v>PASS</v>
      </c>
      <c r="L38" s="21" t="str">
        <f t="shared" si="1"/>
        <v>Karan Singh</v>
      </c>
      <c r="M38" s="17" t="str">
        <f t="shared" si="2"/>
        <v>UNIQUE</v>
      </c>
    </row>
    <row r="39" spans="1:13" x14ac:dyDescent="0.3">
      <c r="A39" s="2" t="s">
        <v>116</v>
      </c>
      <c r="B39" s="1" t="s">
        <v>117</v>
      </c>
      <c r="C39" s="1" t="s">
        <v>7</v>
      </c>
      <c r="D39" s="1" t="s">
        <v>12</v>
      </c>
      <c r="E39" s="1">
        <v>2</v>
      </c>
      <c r="F39" s="1" t="s">
        <v>118</v>
      </c>
      <c r="G39" s="1">
        <v>84</v>
      </c>
      <c r="H39" s="1">
        <v>21</v>
      </c>
      <c r="I39" s="1">
        <v>59</v>
      </c>
      <c r="J39" s="3">
        <v>80</v>
      </c>
      <c r="K39" s="17" t="str">
        <f t="shared" si="0"/>
        <v>PASS</v>
      </c>
      <c r="L39" s="21" t="str">
        <f t="shared" si="1"/>
        <v>Payal Jain</v>
      </c>
      <c r="M39" s="17" t="str">
        <f t="shared" si="2"/>
        <v>UNIQUE</v>
      </c>
    </row>
    <row r="40" spans="1:13" x14ac:dyDescent="0.3">
      <c r="A40" s="2" t="s">
        <v>119</v>
      </c>
      <c r="B40" s="1" t="s">
        <v>120</v>
      </c>
      <c r="C40" s="1" t="s">
        <v>2</v>
      </c>
      <c r="D40" s="1" t="s">
        <v>3</v>
      </c>
      <c r="E40" s="1">
        <v>3</v>
      </c>
      <c r="F40" s="1" t="s">
        <v>121</v>
      </c>
      <c r="G40" s="1">
        <v>71</v>
      </c>
      <c r="H40" s="1">
        <v>17</v>
      </c>
      <c r="I40" s="1">
        <v>49</v>
      </c>
      <c r="J40" s="3">
        <v>66</v>
      </c>
      <c r="K40" s="17" t="str">
        <f t="shared" si="0"/>
        <v>PASS</v>
      </c>
      <c r="L40" s="21" t="str">
        <f t="shared" si="1"/>
        <v>Samar Roy</v>
      </c>
      <c r="M40" s="17" t="str">
        <f t="shared" si="2"/>
        <v>UNIQUE</v>
      </c>
    </row>
    <row r="41" spans="1:13" x14ac:dyDescent="0.3">
      <c r="A41" s="2" t="s">
        <v>122</v>
      </c>
      <c r="B41" s="1" t="s">
        <v>123</v>
      </c>
      <c r="C41" s="1" t="s">
        <v>7</v>
      </c>
      <c r="D41" s="1" t="s">
        <v>8</v>
      </c>
      <c r="E41" s="1">
        <v>4</v>
      </c>
      <c r="F41" s="1" t="s">
        <v>124</v>
      </c>
      <c r="G41" s="1">
        <v>92</v>
      </c>
      <c r="H41" s="1">
        <v>24</v>
      </c>
      <c r="I41" s="1">
        <v>67</v>
      </c>
      <c r="J41" s="3">
        <v>91</v>
      </c>
      <c r="K41" s="17" t="str">
        <f t="shared" si="0"/>
        <v>PASS</v>
      </c>
      <c r="L41" s="21" t="str">
        <f t="shared" si="1"/>
        <v>Heena Shaikh</v>
      </c>
      <c r="M41" s="17" t="str">
        <f t="shared" si="2"/>
        <v>UNIQUE</v>
      </c>
    </row>
    <row r="42" spans="1:13" x14ac:dyDescent="0.3">
      <c r="A42" s="2" t="s">
        <v>125</v>
      </c>
      <c r="B42" s="1" t="s">
        <v>126</v>
      </c>
      <c r="C42" s="1" t="s">
        <v>2</v>
      </c>
      <c r="D42" s="1" t="s">
        <v>19</v>
      </c>
      <c r="E42" s="1">
        <v>5</v>
      </c>
      <c r="F42" s="1" t="s">
        <v>127</v>
      </c>
      <c r="G42" s="1">
        <v>66</v>
      </c>
      <c r="H42" s="1">
        <v>15</v>
      </c>
      <c r="I42" s="1">
        <v>44</v>
      </c>
      <c r="J42" s="3">
        <v>59</v>
      </c>
      <c r="K42" s="17" t="str">
        <f t="shared" si="0"/>
        <v>FAIL</v>
      </c>
      <c r="L42" s="21" t="str">
        <f t="shared" si="1"/>
        <v>Rohit Deshmukh</v>
      </c>
      <c r="M42" s="17" t="str">
        <f t="shared" si="2"/>
        <v>UNIQUE</v>
      </c>
    </row>
    <row r="43" spans="1:13" x14ac:dyDescent="0.3">
      <c r="A43" s="2" t="s">
        <v>128</v>
      </c>
      <c r="B43" s="1" t="s">
        <v>129</v>
      </c>
      <c r="C43" s="1" t="s">
        <v>7</v>
      </c>
      <c r="D43" s="1" t="s">
        <v>12</v>
      </c>
      <c r="E43" s="1">
        <v>6</v>
      </c>
      <c r="F43" s="1" t="s">
        <v>130</v>
      </c>
      <c r="G43" s="1">
        <v>88</v>
      </c>
      <c r="H43" s="1">
        <v>22</v>
      </c>
      <c r="I43" s="1">
        <v>62</v>
      </c>
      <c r="J43" s="3">
        <v>84</v>
      </c>
      <c r="K43" s="17" t="str">
        <f t="shared" si="0"/>
        <v>PASS</v>
      </c>
      <c r="L43" s="21" t="str">
        <f t="shared" si="1"/>
        <v>Pallavi Kulkarni</v>
      </c>
      <c r="M43" s="17" t="str">
        <f t="shared" si="2"/>
        <v>UNIQUE</v>
      </c>
    </row>
    <row r="44" spans="1:13" x14ac:dyDescent="0.3">
      <c r="A44" s="2" t="s">
        <v>131</v>
      </c>
      <c r="B44" s="1" t="s">
        <v>132</v>
      </c>
      <c r="C44" s="1" t="s">
        <v>2</v>
      </c>
      <c r="D44" s="1" t="s">
        <v>3</v>
      </c>
      <c r="E44" s="1">
        <v>2</v>
      </c>
      <c r="F44" s="1" t="s">
        <v>133</v>
      </c>
      <c r="G44" s="1">
        <v>74</v>
      </c>
      <c r="H44" s="1">
        <v>18</v>
      </c>
      <c r="I44" s="1">
        <v>52</v>
      </c>
      <c r="J44" s="3">
        <v>70</v>
      </c>
      <c r="K44" s="17" t="str">
        <f t="shared" si="0"/>
        <v>PASS</v>
      </c>
      <c r="L44" s="21" t="str">
        <f t="shared" si="1"/>
        <v>Ayush Verma</v>
      </c>
      <c r="M44" s="17" t="str">
        <f t="shared" si="2"/>
        <v>UNIQUE</v>
      </c>
    </row>
    <row r="45" spans="1:13" x14ac:dyDescent="0.3">
      <c r="A45" s="2" t="s">
        <v>134</v>
      </c>
      <c r="B45" s="1" t="s">
        <v>135</v>
      </c>
      <c r="C45" s="1" t="s">
        <v>7</v>
      </c>
      <c r="D45" s="1" t="s">
        <v>8</v>
      </c>
      <c r="E45" s="1">
        <v>3</v>
      </c>
      <c r="F45" s="1" t="s">
        <v>136</v>
      </c>
      <c r="G45" s="1">
        <v>81</v>
      </c>
      <c r="H45" s="1">
        <v>20</v>
      </c>
      <c r="I45" s="1">
        <v>57</v>
      </c>
      <c r="J45" s="3">
        <v>77</v>
      </c>
      <c r="K45" s="17" t="str">
        <f t="shared" si="0"/>
        <v>PASS</v>
      </c>
      <c r="L45" s="21" t="str">
        <f t="shared" si="1"/>
        <v>Shreya Das</v>
      </c>
      <c r="M45" s="17" t="str">
        <f t="shared" si="2"/>
        <v>UNIQUE</v>
      </c>
    </row>
    <row r="46" spans="1:13" x14ac:dyDescent="0.3">
      <c r="A46" s="2" t="s">
        <v>137</v>
      </c>
      <c r="B46" s="1" t="s">
        <v>138</v>
      </c>
      <c r="C46" s="1" t="s">
        <v>2</v>
      </c>
      <c r="D46" s="1" t="s">
        <v>19</v>
      </c>
      <c r="E46" s="1">
        <v>4</v>
      </c>
      <c r="F46" s="1" t="s">
        <v>139</v>
      </c>
      <c r="G46" s="1">
        <v>63</v>
      </c>
      <c r="H46" s="1">
        <v>14</v>
      </c>
      <c r="I46" s="1">
        <v>41</v>
      </c>
      <c r="J46" s="3">
        <v>55</v>
      </c>
      <c r="K46" s="17" t="str">
        <f t="shared" si="0"/>
        <v>FAIL</v>
      </c>
      <c r="L46" s="21" t="str">
        <f t="shared" si="1"/>
        <v>Nitin Yadav</v>
      </c>
      <c r="M46" s="17" t="str">
        <f t="shared" si="2"/>
        <v>UNIQUE</v>
      </c>
    </row>
    <row r="47" spans="1:13" x14ac:dyDescent="0.3">
      <c r="A47" s="2" t="s">
        <v>140</v>
      </c>
      <c r="B47" s="1" t="s">
        <v>141</v>
      </c>
      <c r="C47" s="1" t="s">
        <v>7</v>
      </c>
      <c r="D47" s="1" t="s">
        <v>12</v>
      </c>
      <c r="E47" s="1">
        <v>5</v>
      </c>
      <c r="F47" s="1" t="s">
        <v>142</v>
      </c>
      <c r="G47" s="1">
        <v>86</v>
      </c>
      <c r="H47" s="1">
        <v>22</v>
      </c>
      <c r="I47" s="1">
        <v>60</v>
      </c>
      <c r="J47" s="3">
        <v>82</v>
      </c>
      <c r="K47" s="17" t="str">
        <f t="shared" si="0"/>
        <v>PASS</v>
      </c>
      <c r="L47" s="21" t="str">
        <f t="shared" si="1"/>
        <v>Renu Choudhary</v>
      </c>
      <c r="M47" s="17" t="str">
        <f t="shared" si="2"/>
        <v>UNIQUE</v>
      </c>
    </row>
    <row r="48" spans="1:13" x14ac:dyDescent="0.3">
      <c r="A48" s="2" t="s">
        <v>143</v>
      </c>
      <c r="B48" s="1" t="s">
        <v>144</v>
      </c>
      <c r="C48" s="1" t="s">
        <v>2</v>
      </c>
      <c r="D48" s="1" t="s">
        <v>3</v>
      </c>
      <c r="E48" s="1">
        <v>6</v>
      </c>
      <c r="F48" s="1" t="s">
        <v>145</v>
      </c>
      <c r="G48" s="1">
        <v>79</v>
      </c>
      <c r="H48" s="1">
        <v>20</v>
      </c>
      <c r="I48" s="1">
        <v>56</v>
      </c>
      <c r="J48" s="3">
        <v>76</v>
      </c>
      <c r="K48" s="17" t="str">
        <f t="shared" si="0"/>
        <v>PASS</v>
      </c>
      <c r="L48" s="21" t="str">
        <f t="shared" si="1"/>
        <v>Sachin Pawar</v>
      </c>
      <c r="M48" s="17" t="str">
        <f t="shared" si="2"/>
        <v>UNIQUE</v>
      </c>
    </row>
    <row r="49" spans="1:13" x14ac:dyDescent="0.3">
      <c r="A49" s="2" t="s">
        <v>146</v>
      </c>
      <c r="B49" s="1" t="s">
        <v>147</v>
      </c>
      <c r="C49" s="1" t="s">
        <v>7</v>
      </c>
      <c r="D49" s="1" t="s">
        <v>8</v>
      </c>
      <c r="E49" s="1">
        <v>1</v>
      </c>
      <c r="F49" s="1" t="s">
        <v>148</v>
      </c>
      <c r="G49" s="1">
        <v>91</v>
      </c>
      <c r="H49" s="1">
        <v>24</v>
      </c>
      <c r="I49" s="1">
        <v>66</v>
      </c>
      <c r="J49" s="3">
        <v>90</v>
      </c>
      <c r="K49" s="17" t="str">
        <f t="shared" si="0"/>
        <v>PASS</v>
      </c>
      <c r="L49" s="21" t="str">
        <f t="shared" si="1"/>
        <v>Mitali Ghosh</v>
      </c>
      <c r="M49" s="17" t="str">
        <f t="shared" si="2"/>
        <v>UNIQUE</v>
      </c>
    </row>
    <row r="50" spans="1:13" x14ac:dyDescent="0.3">
      <c r="A50" s="2" t="s">
        <v>149</v>
      </c>
      <c r="B50" s="1" t="s">
        <v>150</v>
      </c>
      <c r="C50" s="1" t="s">
        <v>2</v>
      </c>
      <c r="D50" s="1" t="s">
        <v>19</v>
      </c>
      <c r="E50" s="1">
        <v>2</v>
      </c>
      <c r="F50" s="1" t="s">
        <v>151</v>
      </c>
      <c r="G50" s="1">
        <v>70</v>
      </c>
      <c r="H50" s="1">
        <v>17</v>
      </c>
      <c r="I50" s="1">
        <v>50</v>
      </c>
      <c r="J50" s="3">
        <v>67</v>
      </c>
      <c r="K50" s="17" t="str">
        <f t="shared" si="0"/>
        <v>PASS</v>
      </c>
      <c r="L50" s="21" t="str">
        <f t="shared" si="1"/>
        <v>Deepak Rawat</v>
      </c>
      <c r="M50" s="17" t="str">
        <f t="shared" si="2"/>
        <v>UNIQUE</v>
      </c>
    </row>
    <row r="51" spans="1:13" x14ac:dyDescent="0.3">
      <c r="A51" s="2" t="s">
        <v>152</v>
      </c>
      <c r="B51" s="1" t="s">
        <v>153</v>
      </c>
      <c r="C51" s="1" t="s">
        <v>7</v>
      </c>
      <c r="D51" s="1" t="s">
        <v>12</v>
      </c>
      <c r="E51" s="1">
        <v>3</v>
      </c>
      <c r="F51" s="1" t="s">
        <v>154</v>
      </c>
      <c r="G51" s="1">
        <v>85</v>
      </c>
      <c r="H51" s="1">
        <v>22</v>
      </c>
      <c r="I51" s="1">
        <v>61</v>
      </c>
      <c r="J51" s="3">
        <v>83</v>
      </c>
      <c r="K51" s="17" t="str">
        <f t="shared" si="0"/>
        <v>PASS</v>
      </c>
      <c r="L51" s="21" t="str">
        <f t="shared" si="1"/>
        <v>Ankita Mishra</v>
      </c>
      <c r="M51" s="17" t="str">
        <f t="shared" si="2"/>
        <v>UNIQUE</v>
      </c>
    </row>
    <row r="52" spans="1:13" x14ac:dyDescent="0.3">
      <c r="A52" s="2" t="s">
        <v>165</v>
      </c>
      <c r="B52" s="1" t="s">
        <v>166</v>
      </c>
      <c r="C52" s="1" t="s">
        <v>2</v>
      </c>
      <c r="D52" s="1" t="s">
        <v>3</v>
      </c>
      <c r="E52" s="1">
        <v>4</v>
      </c>
      <c r="F52" s="1" t="s">
        <v>167</v>
      </c>
      <c r="G52" s="1">
        <v>78</v>
      </c>
      <c r="H52" s="1">
        <v>19</v>
      </c>
      <c r="I52" s="1">
        <v>55</v>
      </c>
      <c r="J52" s="3">
        <v>74</v>
      </c>
      <c r="K52" s="17" t="str">
        <f t="shared" si="0"/>
        <v>PASS</v>
      </c>
      <c r="L52" s="21" t="str">
        <f t="shared" si="1"/>
        <v>Rahul Jain</v>
      </c>
      <c r="M52" s="17" t="str">
        <f t="shared" si="2"/>
        <v>UNIQUE</v>
      </c>
    </row>
    <row r="53" spans="1:13" x14ac:dyDescent="0.3">
      <c r="A53" s="2" t="s">
        <v>168</v>
      </c>
      <c r="B53" s="1" t="s">
        <v>169</v>
      </c>
      <c r="C53" s="1" t="s">
        <v>7</v>
      </c>
      <c r="D53" s="1" t="s">
        <v>8</v>
      </c>
      <c r="E53" s="1">
        <v>5</v>
      </c>
      <c r="F53" s="1" t="s">
        <v>170</v>
      </c>
      <c r="G53" s="1">
        <v>82</v>
      </c>
      <c r="H53" s="1">
        <v>21</v>
      </c>
      <c r="I53" s="1">
        <v>58</v>
      </c>
      <c r="J53" s="3">
        <v>79</v>
      </c>
      <c r="K53" s="17" t="str">
        <f t="shared" si="0"/>
        <v>PASS</v>
      </c>
      <c r="L53" s="21" t="str">
        <f t="shared" si="1"/>
        <v>Priyanka Solanki</v>
      </c>
      <c r="M53" s="17" t="str">
        <f t="shared" si="2"/>
        <v>UNIQUE</v>
      </c>
    </row>
    <row r="54" spans="1:13" x14ac:dyDescent="0.3">
      <c r="A54" s="2" t="s">
        <v>171</v>
      </c>
      <c r="B54" s="1" t="s">
        <v>172</v>
      </c>
      <c r="C54" s="1" t="s">
        <v>2</v>
      </c>
      <c r="D54" s="1" t="s">
        <v>12</v>
      </c>
      <c r="E54" s="1">
        <v>6</v>
      </c>
      <c r="F54" s="1" t="s">
        <v>173</v>
      </c>
      <c r="G54" s="1">
        <v>67</v>
      </c>
      <c r="H54" s="1">
        <v>15</v>
      </c>
      <c r="I54" s="1">
        <v>44</v>
      </c>
      <c r="J54" s="3">
        <v>59</v>
      </c>
      <c r="K54" s="17" t="str">
        <f t="shared" si="0"/>
        <v>FAIL</v>
      </c>
      <c r="L54" s="21" t="str">
        <f t="shared" si="1"/>
        <v>Nirav Patel</v>
      </c>
      <c r="M54" s="17" t="str">
        <f t="shared" si="2"/>
        <v>UNIQUE</v>
      </c>
    </row>
    <row r="55" spans="1:13" x14ac:dyDescent="0.3">
      <c r="A55" s="2" t="s">
        <v>174</v>
      </c>
      <c r="B55" s="1" t="s">
        <v>175</v>
      </c>
      <c r="C55" s="1" t="s">
        <v>7</v>
      </c>
      <c r="D55" s="1" t="s">
        <v>19</v>
      </c>
      <c r="E55" s="1">
        <v>1</v>
      </c>
      <c r="F55" s="1" t="s">
        <v>176</v>
      </c>
      <c r="G55" s="1">
        <v>88</v>
      </c>
      <c r="H55" s="1">
        <v>22</v>
      </c>
      <c r="I55" s="1">
        <v>62</v>
      </c>
      <c r="J55" s="3">
        <v>84</v>
      </c>
      <c r="K55" s="17" t="str">
        <f t="shared" si="0"/>
        <v>PASS</v>
      </c>
      <c r="L55" s="21" t="str">
        <f t="shared" si="1"/>
        <v>Komal Rathod</v>
      </c>
      <c r="M55" s="17" t="str">
        <f t="shared" si="2"/>
        <v>UNIQUE</v>
      </c>
    </row>
    <row r="56" spans="1:13" x14ac:dyDescent="0.3">
      <c r="A56" s="2" t="s">
        <v>177</v>
      </c>
      <c r="B56" s="1" t="s">
        <v>178</v>
      </c>
      <c r="C56" s="1" t="s">
        <v>2</v>
      </c>
      <c r="D56" s="1" t="s">
        <v>3</v>
      </c>
      <c r="E56" s="1">
        <v>2</v>
      </c>
      <c r="F56" s="1" t="s">
        <v>179</v>
      </c>
      <c r="G56" s="1">
        <v>73</v>
      </c>
      <c r="H56" s="1">
        <v>18</v>
      </c>
      <c r="I56" s="1">
        <v>51</v>
      </c>
      <c r="J56" s="3">
        <v>69</v>
      </c>
      <c r="K56" s="17" t="str">
        <f t="shared" si="0"/>
        <v>PASS</v>
      </c>
      <c r="L56" s="21" t="str">
        <f t="shared" si="1"/>
        <v>Harshit Sharma</v>
      </c>
      <c r="M56" s="17" t="str">
        <f t="shared" si="2"/>
        <v>UNIQUE</v>
      </c>
    </row>
    <row r="57" spans="1:13" x14ac:dyDescent="0.3">
      <c r="A57" s="2" t="s">
        <v>180</v>
      </c>
      <c r="B57" s="1" t="s">
        <v>181</v>
      </c>
      <c r="C57" s="1" t="s">
        <v>7</v>
      </c>
      <c r="D57" s="1" t="s">
        <v>8</v>
      </c>
      <c r="E57" s="1">
        <v>3</v>
      </c>
      <c r="F57" s="1" t="s">
        <v>133</v>
      </c>
      <c r="G57" s="1">
        <v>90</v>
      </c>
      <c r="H57" s="1">
        <v>24</v>
      </c>
      <c r="I57" s="1">
        <v>65</v>
      </c>
      <c r="J57" s="3">
        <v>89</v>
      </c>
      <c r="K57" s="17" t="str">
        <f t="shared" si="0"/>
        <v>PASS</v>
      </c>
      <c r="L57" s="21" t="str">
        <f t="shared" si="1"/>
        <v>Aditi Mishra</v>
      </c>
      <c r="M57" s="17" t="str">
        <f t="shared" si="2"/>
        <v>UNIQUE</v>
      </c>
    </row>
    <row r="58" spans="1:13" x14ac:dyDescent="0.3">
      <c r="A58" s="2" t="s">
        <v>182</v>
      </c>
      <c r="B58" s="1" t="s">
        <v>183</v>
      </c>
      <c r="C58" s="1" t="s">
        <v>2</v>
      </c>
      <c r="D58" s="1" t="s">
        <v>12</v>
      </c>
      <c r="E58" s="1">
        <v>4</v>
      </c>
      <c r="F58" s="1" t="s">
        <v>184</v>
      </c>
      <c r="G58" s="1">
        <v>64</v>
      </c>
      <c r="H58" s="1">
        <v>14</v>
      </c>
      <c r="I58" s="1">
        <v>41</v>
      </c>
      <c r="J58" s="3">
        <v>55</v>
      </c>
      <c r="K58" s="17" t="str">
        <f t="shared" si="0"/>
        <v>FAIL</v>
      </c>
      <c r="L58" s="21" t="str">
        <f t="shared" si="1"/>
        <v>Prakash Yadav</v>
      </c>
      <c r="M58" s="17" t="str">
        <f t="shared" si="2"/>
        <v>UNIQUE</v>
      </c>
    </row>
    <row r="59" spans="1:13" x14ac:dyDescent="0.3">
      <c r="A59" s="2" t="s">
        <v>185</v>
      </c>
      <c r="B59" s="1" t="s">
        <v>186</v>
      </c>
      <c r="C59" s="1" t="s">
        <v>7</v>
      </c>
      <c r="D59" s="1" t="s">
        <v>19</v>
      </c>
      <c r="E59" s="1">
        <v>5</v>
      </c>
      <c r="F59" s="1" t="s">
        <v>74</v>
      </c>
      <c r="G59" s="1">
        <v>85</v>
      </c>
      <c r="H59" s="1">
        <v>22</v>
      </c>
      <c r="I59" s="1">
        <v>60</v>
      </c>
      <c r="J59" s="3">
        <v>82</v>
      </c>
      <c r="K59" s="17" t="str">
        <f t="shared" si="0"/>
        <v>PASS</v>
      </c>
      <c r="L59" s="21" t="str">
        <f t="shared" si="1"/>
        <v>Nandini Joshi</v>
      </c>
      <c r="M59" s="17" t="str">
        <f t="shared" si="2"/>
        <v>UNIQUE</v>
      </c>
    </row>
    <row r="60" spans="1:13" x14ac:dyDescent="0.3">
      <c r="A60" s="2" t="s">
        <v>187</v>
      </c>
      <c r="B60" s="1" t="s">
        <v>188</v>
      </c>
      <c r="C60" s="1" t="s">
        <v>2</v>
      </c>
      <c r="D60" s="1" t="s">
        <v>3</v>
      </c>
      <c r="E60" s="1">
        <v>6</v>
      </c>
      <c r="F60" s="1" t="s">
        <v>189</v>
      </c>
      <c r="G60" s="1">
        <v>71</v>
      </c>
      <c r="H60" s="1">
        <v>17</v>
      </c>
      <c r="I60" s="1">
        <v>49</v>
      </c>
      <c r="J60" s="3">
        <v>66</v>
      </c>
      <c r="K60" s="17" t="str">
        <f t="shared" si="0"/>
        <v>PASS</v>
      </c>
      <c r="L60" s="21" t="str">
        <f t="shared" si="1"/>
        <v>Mayank Verma</v>
      </c>
      <c r="M60" s="17" t="str">
        <f t="shared" si="2"/>
        <v>UNIQUE</v>
      </c>
    </row>
    <row r="61" spans="1:13" x14ac:dyDescent="0.3">
      <c r="A61" s="2" t="s">
        <v>190</v>
      </c>
      <c r="B61" s="1" t="s">
        <v>191</v>
      </c>
      <c r="C61" s="1" t="s">
        <v>7</v>
      </c>
      <c r="D61" s="1" t="s">
        <v>8</v>
      </c>
      <c r="E61" s="1">
        <v>1</v>
      </c>
      <c r="F61" s="1" t="s">
        <v>192</v>
      </c>
      <c r="G61" s="1">
        <v>93</v>
      </c>
      <c r="H61" s="1">
        <v>25</v>
      </c>
      <c r="I61" s="1">
        <v>69</v>
      </c>
      <c r="J61" s="3">
        <v>94</v>
      </c>
      <c r="K61" s="17" t="str">
        <f t="shared" si="0"/>
        <v>PASS</v>
      </c>
      <c r="L61" s="21" t="str">
        <f t="shared" si="1"/>
        <v>Rupal Shah</v>
      </c>
      <c r="M61" s="17" t="str">
        <f t="shared" si="2"/>
        <v>UNIQUE</v>
      </c>
    </row>
    <row r="62" spans="1:13" x14ac:dyDescent="0.3">
      <c r="A62" s="2" t="s">
        <v>193</v>
      </c>
      <c r="B62" s="1" t="s">
        <v>194</v>
      </c>
      <c r="C62" s="1" t="s">
        <v>2</v>
      </c>
      <c r="D62" s="1" t="s">
        <v>12</v>
      </c>
      <c r="E62" s="1">
        <v>2</v>
      </c>
      <c r="F62" s="1" t="s">
        <v>195</v>
      </c>
      <c r="G62" s="1">
        <v>69</v>
      </c>
      <c r="H62" s="1">
        <v>16</v>
      </c>
      <c r="I62" s="1">
        <v>47</v>
      </c>
      <c r="J62" s="3">
        <v>63</v>
      </c>
      <c r="K62" s="17" t="str">
        <f t="shared" si="0"/>
        <v>PASS</v>
      </c>
      <c r="L62" s="21" t="str">
        <f t="shared" si="1"/>
        <v>Aman Khan</v>
      </c>
      <c r="M62" s="17" t="str">
        <f t="shared" si="2"/>
        <v>UNIQUE</v>
      </c>
    </row>
    <row r="63" spans="1:13" x14ac:dyDescent="0.3">
      <c r="A63" s="2" t="s">
        <v>196</v>
      </c>
      <c r="B63" s="1" t="s">
        <v>197</v>
      </c>
      <c r="C63" s="1" t="s">
        <v>7</v>
      </c>
      <c r="D63" s="1" t="s">
        <v>19</v>
      </c>
      <c r="E63" s="1">
        <v>3</v>
      </c>
      <c r="F63" s="1" t="s">
        <v>198</v>
      </c>
      <c r="G63" s="1">
        <v>87</v>
      </c>
      <c r="H63" s="1">
        <v>22</v>
      </c>
      <c r="I63" s="1">
        <v>61</v>
      </c>
      <c r="J63" s="3">
        <v>83</v>
      </c>
      <c r="K63" s="17" t="str">
        <f t="shared" si="0"/>
        <v>PASS</v>
      </c>
      <c r="L63" s="21" t="str">
        <f t="shared" si="1"/>
        <v>Jinal Mehta</v>
      </c>
      <c r="M63" s="17" t="str">
        <f t="shared" si="2"/>
        <v>UNIQUE</v>
      </c>
    </row>
    <row r="64" spans="1:13" x14ac:dyDescent="0.3">
      <c r="A64" s="2" t="s">
        <v>199</v>
      </c>
      <c r="B64" s="1" t="s">
        <v>200</v>
      </c>
      <c r="C64" s="1" t="s">
        <v>2</v>
      </c>
      <c r="D64" s="1" t="s">
        <v>3</v>
      </c>
      <c r="E64" s="1">
        <v>4</v>
      </c>
      <c r="F64" s="1" t="s">
        <v>201</v>
      </c>
      <c r="G64" s="1">
        <v>75</v>
      </c>
      <c r="H64" s="1">
        <v>18</v>
      </c>
      <c r="I64" s="1">
        <v>54</v>
      </c>
      <c r="J64" s="3">
        <v>72</v>
      </c>
      <c r="K64" s="17" t="str">
        <f t="shared" si="0"/>
        <v>PASS</v>
      </c>
      <c r="L64" s="21" t="str">
        <f t="shared" si="1"/>
        <v>Rakesh Soni</v>
      </c>
      <c r="M64" s="17" t="str">
        <f t="shared" si="2"/>
        <v>UNIQUE</v>
      </c>
    </row>
    <row r="65" spans="1:13" x14ac:dyDescent="0.3">
      <c r="A65" s="2" t="s">
        <v>202</v>
      </c>
      <c r="B65" s="1" t="s">
        <v>203</v>
      </c>
      <c r="C65" s="1" t="s">
        <v>7</v>
      </c>
      <c r="D65" s="1" t="s">
        <v>8</v>
      </c>
      <c r="E65" s="1">
        <v>5</v>
      </c>
      <c r="F65" s="1" t="s">
        <v>204</v>
      </c>
      <c r="G65" s="1">
        <v>81</v>
      </c>
      <c r="H65" s="1">
        <v>20</v>
      </c>
      <c r="I65" s="1">
        <v>57</v>
      </c>
      <c r="J65" s="3">
        <v>77</v>
      </c>
      <c r="K65" s="17" t="str">
        <f t="shared" si="0"/>
        <v>PASS</v>
      </c>
      <c r="L65" s="21" t="str">
        <f t="shared" si="1"/>
        <v>Priya Saxena</v>
      </c>
      <c r="M65" s="17" t="str">
        <f t="shared" si="2"/>
        <v>UNIQUE</v>
      </c>
    </row>
    <row r="66" spans="1:13" x14ac:dyDescent="0.3">
      <c r="A66" s="2" t="s">
        <v>205</v>
      </c>
      <c r="B66" s="1" t="s">
        <v>206</v>
      </c>
      <c r="C66" s="1" t="s">
        <v>2</v>
      </c>
      <c r="D66" s="1" t="s">
        <v>12</v>
      </c>
      <c r="E66" s="1">
        <v>6</v>
      </c>
      <c r="F66" s="1" t="s">
        <v>207</v>
      </c>
      <c r="G66" s="1">
        <v>66</v>
      </c>
      <c r="H66" s="1">
        <v>15</v>
      </c>
      <c r="I66" s="1">
        <v>44</v>
      </c>
      <c r="J66" s="3">
        <v>59</v>
      </c>
      <c r="K66" s="17" t="str">
        <f t="shared" si="0"/>
        <v>FAIL</v>
      </c>
      <c r="L66" s="21" t="str">
        <f t="shared" si="1"/>
        <v>Vikas Patel</v>
      </c>
      <c r="M66" s="17" t="str">
        <f t="shared" si="2"/>
        <v>UNIQUE</v>
      </c>
    </row>
    <row r="67" spans="1:13" x14ac:dyDescent="0.3">
      <c r="A67" s="2" t="s">
        <v>208</v>
      </c>
      <c r="B67" s="1" t="s">
        <v>209</v>
      </c>
      <c r="C67" s="1" t="s">
        <v>7</v>
      </c>
      <c r="D67" s="1" t="s">
        <v>19</v>
      </c>
      <c r="E67" s="1">
        <v>1</v>
      </c>
      <c r="F67" s="1" t="s">
        <v>210</v>
      </c>
      <c r="G67" s="1">
        <v>90</v>
      </c>
      <c r="H67" s="1">
        <v>24</v>
      </c>
      <c r="I67" s="1">
        <v>65</v>
      </c>
      <c r="J67" s="3">
        <v>89</v>
      </c>
      <c r="K67" s="17" t="str">
        <f t="shared" ref="K67:K130" si="8">IF(J67&gt;=60,"PASS","FAIL")</f>
        <v>PASS</v>
      </c>
      <c r="L67" s="21" t="str">
        <f t="shared" ref="L67:L130" si="9">IF(B67="","NA",B67)</f>
        <v>Neelam Gupta</v>
      </c>
      <c r="M67" s="17" t="str">
        <f t="shared" ref="M67:M130" si="10">IF(COUNTIF(A:A,A67)&gt;1,"DUPLICATE","UNIQUE")</f>
        <v>UNIQUE</v>
      </c>
    </row>
    <row r="68" spans="1:13" x14ac:dyDescent="0.3">
      <c r="A68" s="2" t="s">
        <v>211</v>
      </c>
      <c r="B68" s="1" t="s">
        <v>212</v>
      </c>
      <c r="C68" s="1" t="s">
        <v>2</v>
      </c>
      <c r="D68" s="1" t="s">
        <v>3</v>
      </c>
      <c r="E68" s="1">
        <v>2</v>
      </c>
      <c r="F68" s="1" t="s">
        <v>213</v>
      </c>
      <c r="G68" s="1">
        <v>72</v>
      </c>
      <c r="H68" s="1">
        <v>18</v>
      </c>
      <c r="I68" s="1">
        <v>50</v>
      </c>
      <c r="J68" s="3">
        <v>68</v>
      </c>
      <c r="K68" s="17" t="str">
        <f t="shared" si="8"/>
        <v>PASS</v>
      </c>
      <c r="L68" s="21" t="str">
        <f t="shared" si="9"/>
        <v>Suresh Parmar</v>
      </c>
      <c r="M68" s="17" t="str">
        <f t="shared" si="10"/>
        <v>UNIQUE</v>
      </c>
    </row>
    <row r="69" spans="1:13" x14ac:dyDescent="0.3">
      <c r="A69" s="2" t="s">
        <v>214</v>
      </c>
      <c r="B69" s="1" t="s">
        <v>215</v>
      </c>
      <c r="C69" s="1" t="s">
        <v>7</v>
      </c>
      <c r="D69" s="1" t="s">
        <v>8</v>
      </c>
      <c r="E69" s="1">
        <v>3</v>
      </c>
      <c r="F69" s="1" t="s">
        <v>216</v>
      </c>
      <c r="G69" s="1">
        <v>84</v>
      </c>
      <c r="H69" s="1">
        <v>21</v>
      </c>
      <c r="I69" s="1">
        <v>59</v>
      </c>
      <c r="J69" s="3">
        <v>80</v>
      </c>
      <c r="K69" s="17" t="str">
        <f t="shared" si="8"/>
        <v>PASS</v>
      </c>
      <c r="L69" s="21" t="str">
        <f t="shared" si="9"/>
        <v>Alisha Khan</v>
      </c>
      <c r="M69" s="17" t="str">
        <f t="shared" si="10"/>
        <v>UNIQUE</v>
      </c>
    </row>
    <row r="70" spans="1:13" x14ac:dyDescent="0.3">
      <c r="A70" s="2" t="s">
        <v>217</v>
      </c>
      <c r="B70" s="1" t="s">
        <v>218</v>
      </c>
      <c r="C70" s="1" t="s">
        <v>2</v>
      </c>
      <c r="D70" s="1" t="s">
        <v>12</v>
      </c>
      <c r="E70" s="1">
        <v>4</v>
      </c>
      <c r="F70" s="1" t="s">
        <v>219</v>
      </c>
      <c r="G70" s="1">
        <v>63</v>
      </c>
      <c r="H70" s="1">
        <v>14</v>
      </c>
      <c r="I70" s="1">
        <v>41</v>
      </c>
      <c r="J70" s="3">
        <v>55</v>
      </c>
      <c r="K70" s="17" t="str">
        <f t="shared" si="8"/>
        <v>FAIL</v>
      </c>
      <c r="L70" s="21" t="str">
        <f t="shared" si="9"/>
        <v>Ajay Yadav</v>
      </c>
      <c r="M70" s="17" t="str">
        <f t="shared" si="10"/>
        <v>UNIQUE</v>
      </c>
    </row>
    <row r="71" spans="1:13" x14ac:dyDescent="0.3">
      <c r="A71" s="2" t="s">
        <v>220</v>
      </c>
      <c r="B71" s="1" t="s">
        <v>221</v>
      </c>
      <c r="C71" s="1" t="s">
        <v>7</v>
      </c>
      <c r="D71" s="1" t="s">
        <v>19</v>
      </c>
      <c r="E71" s="1">
        <v>5</v>
      </c>
      <c r="F71" s="1" t="s">
        <v>222</v>
      </c>
      <c r="G71" s="1">
        <v>91</v>
      </c>
      <c r="H71" s="1">
        <v>24</v>
      </c>
      <c r="I71" s="1">
        <v>66</v>
      </c>
      <c r="J71" s="3">
        <v>90</v>
      </c>
      <c r="K71" s="17" t="str">
        <f t="shared" si="8"/>
        <v>PASS</v>
      </c>
      <c r="L71" s="21" t="str">
        <f t="shared" si="9"/>
        <v>Krupa Patel</v>
      </c>
      <c r="M71" s="17" t="str">
        <f t="shared" si="10"/>
        <v>UNIQUE</v>
      </c>
    </row>
    <row r="72" spans="1:13" x14ac:dyDescent="0.3">
      <c r="A72" s="2" t="s">
        <v>223</v>
      </c>
      <c r="B72" s="1" t="s">
        <v>224</v>
      </c>
      <c r="C72" s="1" t="s">
        <v>2</v>
      </c>
      <c r="D72" s="1" t="s">
        <v>3</v>
      </c>
      <c r="E72" s="1">
        <v>6</v>
      </c>
      <c r="F72" s="1" t="s">
        <v>225</v>
      </c>
      <c r="G72" s="1">
        <v>70</v>
      </c>
      <c r="H72" s="1">
        <v>17</v>
      </c>
      <c r="I72" s="1">
        <v>50</v>
      </c>
      <c r="J72" s="3">
        <v>67</v>
      </c>
      <c r="K72" s="17" t="str">
        <f t="shared" si="8"/>
        <v>PASS</v>
      </c>
      <c r="L72" s="21" t="str">
        <f t="shared" si="9"/>
        <v>Pankaj Mishra</v>
      </c>
      <c r="M72" s="17" t="str">
        <f t="shared" si="10"/>
        <v>UNIQUE</v>
      </c>
    </row>
    <row r="73" spans="1:13" x14ac:dyDescent="0.3">
      <c r="A73" s="2" t="s">
        <v>226</v>
      </c>
      <c r="B73" s="1" t="s">
        <v>227</v>
      </c>
      <c r="C73" s="1" t="s">
        <v>7</v>
      </c>
      <c r="D73" s="1" t="s">
        <v>8</v>
      </c>
      <c r="E73" s="1">
        <v>1</v>
      </c>
      <c r="F73" s="1" t="s">
        <v>228</v>
      </c>
      <c r="G73" s="1">
        <v>86</v>
      </c>
      <c r="H73" s="1">
        <v>22</v>
      </c>
      <c r="I73" s="1">
        <v>60</v>
      </c>
      <c r="J73" s="3">
        <v>82</v>
      </c>
      <c r="K73" s="17" t="str">
        <f t="shared" si="8"/>
        <v>PASS</v>
      </c>
      <c r="L73" s="21" t="str">
        <f t="shared" si="9"/>
        <v>Nisha Chauhan</v>
      </c>
      <c r="M73" s="17" t="str">
        <f t="shared" si="10"/>
        <v>UNIQUE</v>
      </c>
    </row>
    <row r="74" spans="1:13" x14ac:dyDescent="0.3">
      <c r="A74" s="2" t="s">
        <v>229</v>
      </c>
      <c r="B74" s="1" t="s">
        <v>230</v>
      </c>
      <c r="C74" s="1" t="s">
        <v>2</v>
      </c>
      <c r="D74" s="1" t="s">
        <v>12</v>
      </c>
      <c r="E74" s="1">
        <v>2</v>
      </c>
      <c r="F74" s="1" t="s">
        <v>231</v>
      </c>
      <c r="G74" s="1">
        <v>68</v>
      </c>
      <c r="H74" s="1">
        <v>16</v>
      </c>
      <c r="I74" s="1">
        <v>45</v>
      </c>
      <c r="J74" s="3">
        <v>61</v>
      </c>
      <c r="K74" s="17" t="str">
        <f t="shared" si="8"/>
        <v>PASS</v>
      </c>
      <c r="L74" s="21" t="str">
        <f t="shared" si="9"/>
        <v>Sanjay Kumar</v>
      </c>
      <c r="M74" s="17" t="str">
        <f t="shared" si="10"/>
        <v>UNIQUE</v>
      </c>
    </row>
    <row r="75" spans="1:13" x14ac:dyDescent="0.3">
      <c r="A75" s="2" t="s">
        <v>232</v>
      </c>
      <c r="B75" s="1" t="s">
        <v>233</v>
      </c>
      <c r="C75" s="1" t="s">
        <v>7</v>
      </c>
      <c r="D75" s="1" t="s">
        <v>19</v>
      </c>
      <c r="E75" s="1">
        <v>3</v>
      </c>
      <c r="F75" s="1" t="s">
        <v>234</v>
      </c>
      <c r="G75" s="1">
        <v>89</v>
      </c>
      <c r="H75" s="1">
        <v>23</v>
      </c>
      <c r="I75" s="1">
        <v>63</v>
      </c>
      <c r="J75" s="3">
        <v>86</v>
      </c>
      <c r="K75" s="17" t="str">
        <f t="shared" si="8"/>
        <v>PASS</v>
      </c>
      <c r="L75" s="21" t="str">
        <f t="shared" si="9"/>
        <v>Ritu Malviya</v>
      </c>
      <c r="M75" s="17" t="str">
        <f t="shared" si="10"/>
        <v>UNIQUE</v>
      </c>
    </row>
    <row r="76" spans="1:13" x14ac:dyDescent="0.3">
      <c r="A76" s="2" t="s">
        <v>235</v>
      </c>
      <c r="B76" s="1" t="s">
        <v>236</v>
      </c>
      <c r="C76" s="1" t="s">
        <v>2</v>
      </c>
      <c r="D76" s="1" t="s">
        <v>3</v>
      </c>
      <c r="E76" s="1">
        <v>4</v>
      </c>
      <c r="F76" s="1" t="s">
        <v>237</v>
      </c>
      <c r="G76" s="1">
        <v>74</v>
      </c>
      <c r="H76" s="1">
        <v>18</v>
      </c>
      <c r="I76" s="1">
        <v>52</v>
      </c>
      <c r="J76" s="3">
        <v>70</v>
      </c>
      <c r="K76" s="17" t="str">
        <f t="shared" si="8"/>
        <v>PASS</v>
      </c>
      <c r="L76" s="21" t="str">
        <f t="shared" si="9"/>
        <v>Deep Patel</v>
      </c>
      <c r="M76" s="17" t="str">
        <f t="shared" si="10"/>
        <v>UNIQUE</v>
      </c>
    </row>
    <row r="77" spans="1:13" x14ac:dyDescent="0.3">
      <c r="A77" s="2" t="s">
        <v>238</v>
      </c>
      <c r="B77" s="1" t="s">
        <v>239</v>
      </c>
      <c r="C77" s="1" t="s">
        <v>7</v>
      </c>
      <c r="D77" s="1" t="s">
        <v>8</v>
      </c>
      <c r="E77" s="1">
        <v>5</v>
      </c>
      <c r="F77" s="1" t="s">
        <v>240</v>
      </c>
      <c r="G77" s="1">
        <v>80</v>
      </c>
      <c r="H77" s="1">
        <v>20</v>
      </c>
      <c r="I77" s="1">
        <v>56</v>
      </c>
      <c r="J77" s="3">
        <v>76</v>
      </c>
      <c r="K77" s="17" t="str">
        <f t="shared" si="8"/>
        <v>PASS</v>
      </c>
      <c r="L77" s="21" t="str">
        <f t="shared" si="9"/>
        <v>Shalini Pandey</v>
      </c>
      <c r="M77" s="17" t="str">
        <f t="shared" si="10"/>
        <v>UNIQUE</v>
      </c>
    </row>
    <row r="78" spans="1:13" x14ac:dyDescent="0.3">
      <c r="A78" s="2" t="s">
        <v>241</v>
      </c>
      <c r="B78" s="1" t="s">
        <v>242</v>
      </c>
      <c r="C78" s="1" t="s">
        <v>2</v>
      </c>
      <c r="D78" s="1" t="s">
        <v>12</v>
      </c>
      <c r="E78" s="1">
        <v>6</v>
      </c>
      <c r="F78" s="1" t="s">
        <v>243</v>
      </c>
      <c r="G78" s="1">
        <v>65</v>
      </c>
      <c r="H78" s="1">
        <v>15</v>
      </c>
      <c r="I78" s="1">
        <v>43</v>
      </c>
      <c r="J78" s="3">
        <v>58</v>
      </c>
      <c r="K78" s="17" t="str">
        <f t="shared" si="8"/>
        <v>FAIL</v>
      </c>
      <c r="L78" s="21" t="str">
        <f t="shared" si="9"/>
        <v>Manoj Verma</v>
      </c>
      <c r="M78" s="17" t="str">
        <f t="shared" si="10"/>
        <v>UNIQUE</v>
      </c>
    </row>
    <row r="79" spans="1:13" x14ac:dyDescent="0.3">
      <c r="A79" s="2" t="s">
        <v>244</v>
      </c>
      <c r="B79" s="1" t="s">
        <v>245</v>
      </c>
      <c r="C79" s="1" t="s">
        <v>7</v>
      </c>
      <c r="D79" s="1" t="s">
        <v>19</v>
      </c>
      <c r="E79" s="1">
        <v>1</v>
      </c>
      <c r="F79" s="1" t="s">
        <v>246</v>
      </c>
      <c r="G79" s="1">
        <v>92</v>
      </c>
      <c r="H79" s="1">
        <v>24</v>
      </c>
      <c r="I79" s="1">
        <v>67</v>
      </c>
      <c r="J79" s="3">
        <v>91</v>
      </c>
      <c r="K79" s="17" t="str">
        <f t="shared" si="8"/>
        <v>PASS</v>
      </c>
      <c r="L79" s="21" t="str">
        <f t="shared" si="9"/>
        <v>Kajal Jain</v>
      </c>
      <c r="M79" s="17" t="str">
        <f t="shared" si="10"/>
        <v>UNIQUE</v>
      </c>
    </row>
    <row r="80" spans="1:13" x14ac:dyDescent="0.3">
      <c r="A80" s="2" t="s">
        <v>247</v>
      </c>
      <c r="B80" s="1" t="s">
        <v>248</v>
      </c>
      <c r="C80" s="1" t="s">
        <v>2</v>
      </c>
      <c r="D80" s="1" t="s">
        <v>3</v>
      </c>
      <c r="E80" s="1">
        <v>2</v>
      </c>
      <c r="F80" s="1" t="s">
        <v>249</v>
      </c>
      <c r="G80" s="1">
        <v>77</v>
      </c>
      <c r="H80" s="1">
        <v>19</v>
      </c>
      <c r="I80" s="1">
        <v>56</v>
      </c>
      <c r="J80" s="3">
        <v>75</v>
      </c>
      <c r="K80" s="17" t="str">
        <f t="shared" si="8"/>
        <v>PASS</v>
      </c>
      <c r="L80" s="21" t="str">
        <f t="shared" si="9"/>
        <v>Akshay Thakur</v>
      </c>
      <c r="M80" s="17" t="str">
        <f t="shared" si="10"/>
        <v>UNIQUE</v>
      </c>
    </row>
    <row r="81" spans="1:13" x14ac:dyDescent="0.3">
      <c r="A81" s="2" t="s">
        <v>250</v>
      </c>
      <c r="B81" s="1" t="s">
        <v>251</v>
      </c>
      <c r="C81" s="1" t="s">
        <v>7</v>
      </c>
      <c r="D81" s="1" t="s">
        <v>8</v>
      </c>
      <c r="E81" s="1">
        <v>3</v>
      </c>
      <c r="F81" s="1" t="s">
        <v>252</v>
      </c>
      <c r="G81" s="1">
        <v>85</v>
      </c>
      <c r="H81" s="1">
        <v>22</v>
      </c>
      <c r="I81" s="1">
        <v>61</v>
      </c>
      <c r="J81" s="3">
        <v>83</v>
      </c>
      <c r="K81" s="17" t="str">
        <f t="shared" si="8"/>
        <v>PASS</v>
      </c>
      <c r="L81" s="21" t="str">
        <f t="shared" si="9"/>
        <v>Preeti Yadav</v>
      </c>
      <c r="M81" s="17" t="str">
        <f t="shared" si="10"/>
        <v>UNIQUE</v>
      </c>
    </row>
    <row r="82" spans="1:13" x14ac:dyDescent="0.3">
      <c r="A82" s="2" t="s">
        <v>253</v>
      </c>
      <c r="B82" s="1" t="s">
        <v>254</v>
      </c>
      <c r="C82" s="1" t="s">
        <v>2</v>
      </c>
      <c r="D82" s="1" t="s">
        <v>12</v>
      </c>
      <c r="E82" s="1">
        <v>4</v>
      </c>
      <c r="F82" s="1" t="s">
        <v>255</v>
      </c>
      <c r="G82" s="1">
        <v>69</v>
      </c>
      <c r="H82" s="1">
        <v>16</v>
      </c>
      <c r="I82" s="1">
        <v>47</v>
      </c>
      <c r="J82" s="3">
        <v>63</v>
      </c>
      <c r="K82" s="17" t="str">
        <f t="shared" si="8"/>
        <v>PASS</v>
      </c>
      <c r="L82" s="21" t="str">
        <f t="shared" si="9"/>
        <v>Naveen Solanki</v>
      </c>
      <c r="M82" s="17" t="str">
        <f t="shared" si="10"/>
        <v>UNIQUE</v>
      </c>
    </row>
    <row r="83" spans="1:13" x14ac:dyDescent="0.3">
      <c r="A83" s="2" t="s">
        <v>256</v>
      </c>
      <c r="B83" s="1" t="s">
        <v>257</v>
      </c>
      <c r="C83" s="1" t="s">
        <v>7</v>
      </c>
      <c r="D83" s="1" t="s">
        <v>19</v>
      </c>
      <c r="E83" s="1">
        <v>5</v>
      </c>
      <c r="F83" s="1" t="s">
        <v>258</v>
      </c>
      <c r="G83" s="1">
        <v>90</v>
      </c>
      <c r="H83" s="1">
        <v>24</v>
      </c>
      <c r="I83" s="1">
        <v>65</v>
      </c>
      <c r="J83" s="3">
        <v>89</v>
      </c>
      <c r="K83" s="17" t="str">
        <f t="shared" si="8"/>
        <v>PASS</v>
      </c>
      <c r="L83" s="21" t="str">
        <f t="shared" si="9"/>
        <v>Isha Goyal</v>
      </c>
      <c r="M83" s="17" t="str">
        <f t="shared" si="10"/>
        <v>UNIQUE</v>
      </c>
    </row>
    <row r="84" spans="1:13" x14ac:dyDescent="0.3">
      <c r="A84" s="2" t="s">
        <v>259</v>
      </c>
      <c r="B84" s="1" t="s">
        <v>260</v>
      </c>
      <c r="C84" s="1" t="s">
        <v>2</v>
      </c>
      <c r="D84" s="1" t="s">
        <v>3</v>
      </c>
      <c r="E84" s="1">
        <v>6</v>
      </c>
      <c r="F84" s="1" t="s">
        <v>261</v>
      </c>
      <c r="G84" s="1">
        <v>73</v>
      </c>
      <c r="H84" s="1">
        <v>18</v>
      </c>
      <c r="I84" s="1">
        <v>51</v>
      </c>
      <c r="J84" s="3">
        <v>69</v>
      </c>
      <c r="K84" s="17" t="str">
        <f t="shared" si="8"/>
        <v>PASS</v>
      </c>
      <c r="L84" s="21" t="str">
        <f t="shared" si="9"/>
        <v>Rajesh Patel</v>
      </c>
      <c r="M84" s="17" t="str">
        <f t="shared" si="10"/>
        <v>UNIQUE</v>
      </c>
    </row>
    <row r="85" spans="1:13" x14ac:dyDescent="0.3">
      <c r="A85" s="2" t="s">
        <v>262</v>
      </c>
      <c r="B85" s="1" t="s">
        <v>263</v>
      </c>
      <c r="C85" s="1" t="s">
        <v>7</v>
      </c>
      <c r="D85" s="1" t="s">
        <v>8</v>
      </c>
      <c r="E85" s="1">
        <v>1</v>
      </c>
      <c r="F85" s="1" t="s">
        <v>264</v>
      </c>
      <c r="G85" s="1">
        <v>88</v>
      </c>
      <c r="H85" s="1">
        <v>22</v>
      </c>
      <c r="I85" s="1">
        <v>62</v>
      </c>
      <c r="J85" s="3">
        <v>84</v>
      </c>
      <c r="K85" s="17" t="str">
        <f t="shared" si="8"/>
        <v>PASS</v>
      </c>
      <c r="L85" s="21" t="str">
        <f t="shared" si="9"/>
        <v>Muskan Khan</v>
      </c>
      <c r="M85" s="17" t="str">
        <f t="shared" si="10"/>
        <v>UNIQUE</v>
      </c>
    </row>
    <row r="86" spans="1:13" x14ac:dyDescent="0.3">
      <c r="A86" s="2" t="s">
        <v>265</v>
      </c>
      <c r="B86" s="1" t="s">
        <v>266</v>
      </c>
      <c r="C86" s="1" t="s">
        <v>2</v>
      </c>
      <c r="D86" s="1" t="s">
        <v>12</v>
      </c>
      <c r="E86" s="1">
        <v>2</v>
      </c>
      <c r="F86" s="1" t="s">
        <v>267</v>
      </c>
      <c r="G86" s="1">
        <v>64</v>
      </c>
      <c r="H86" s="1">
        <v>14</v>
      </c>
      <c r="I86" s="1">
        <v>41</v>
      </c>
      <c r="J86" s="3">
        <v>55</v>
      </c>
      <c r="K86" s="17" t="str">
        <f t="shared" si="8"/>
        <v>FAIL</v>
      </c>
      <c r="L86" s="21" t="str">
        <f t="shared" si="9"/>
        <v>Satish Kumar</v>
      </c>
      <c r="M86" s="17" t="str">
        <f t="shared" si="10"/>
        <v>UNIQUE</v>
      </c>
    </row>
    <row r="87" spans="1:13" x14ac:dyDescent="0.3">
      <c r="A87" s="2" t="s">
        <v>268</v>
      </c>
      <c r="B87" s="1" t="s">
        <v>269</v>
      </c>
      <c r="C87" s="1" t="s">
        <v>7</v>
      </c>
      <c r="D87" s="1" t="s">
        <v>19</v>
      </c>
      <c r="E87" s="1">
        <v>3</v>
      </c>
      <c r="F87" s="1" t="s">
        <v>270</v>
      </c>
      <c r="G87" s="1">
        <v>91</v>
      </c>
      <c r="H87" s="1">
        <v>24</v>
      </c>
      <c r="I87" s="1">
        <v>66</v>
      </c>
      <c r="J87" s="3">
        <v>90</v>
      </c>
      <c r="K87" s="17" t="str">
        <f t="shared" si="8"/>
        <v>PASS</v>
      </c>
      <c r="L87" s="21" t="str">
        <f t="shared" si="9"/>
        <v>Ritika Sen</v>
      </c>
      <c r="M87" s="17" t="str">
        <f t="shared" si="10"/>
        <v>UNIQUE</v>
      </c>
    </row>
    <row r="88" spans="1:13" x14ac:dyDescent="0.3">
      <c r="A88" s="2" t="s">
        <v>271</v>
      </c>
      <c r="B88" s="1" t="s">
        <v>272</v>
      </c>
      <c r="C88" s="1" t="s">
        <v>2</v>
      </c>
      <c r="D88" s="1" t="s">
        <v>3</v>
      </c>
      <c r="E88" s="1">
        <v>4</v>
      </c>
      <c r="F88" s="1" t="s">
        <v>273</v>
      </c>
      <c r="G88" s="1">
        <v>76</v>
      </c>
      <c r="H88" s="1">
        <v>19</v>
      </c>
      <c r="I88" s="1">
        <v>54</v>
      </c>
      <c r="J88" s="3">
        <v>73</v>
      </c>
      <c r="K88" s="17" t="str">
        <f t="shared" si="8"/>
        <v>PASS</v>
      </c>
      <c r="L88" s="21" t="str">
        <f t="shared" si="9"/>
        <v>Kishan Patel</v>
      </c>
      <c r="M88" s="17" t="str">
        <f t="shared" si="10"/>
        <v>UNIQUE</v>
      </c>
    </row>
    <row r="89" spans="1:13" x14ac:dyDescent="0.3">
      <c r="A89" s="2" t="s">
        <v>274</v>
      </c>
      <c r="B89" s="1" t="s">
        <v>275</v>
      </c>
      <c r="C89" s="1" t="s">
        <v>7</v>
      </c>
      <c r="D89" s="1" t="s">
        <v>8</v>
      </c>
      <c r="E89" s="1">
        <v>5</v>
      </c>
      <c r="F89" s="1" t="s">
        <v>276</v>
      </c>
      <c r="G89" s="1">
        <v>83</v>
      </c>
      <c r="H89" s="1">
        <v>21</v>
      </c>
      <c r="I89" s="1">
        <v>58</v>
      </c>
      <c r="J89" s="3">
        <v>79</v>
      </c>
      <c r="K89" s="17" t="str">
        <f t="shared" si="8"/>
        <v>PASS</v>
      </c>
      <c r="L89" s="21" t="str">
        <f t="shared" si="9"/>
        <v>Sonia Verma</v>
      </c>
      <c r="M89" s="17" t="str">
        <f t="shared" si="10"/>
        <v>UNIQUE</v>
      </c>
    </row>
    <row r="90" spans="1:13" x14ac:dyDescent="0.3">
      <c r="A90" s="2" t="s">
        <v>277</v>
      </c>
      <c r="B90" s="1" t="s">
        <v>278</v>
      </c>
      <c r="C90" s="1" t="s">
        <v>2</v>
      </c>
      <c r="D90" s="1" t="s">
        <v>12</v>
      </c>
      <c r="E90" s="1">
        <v>6</v>
      </c>
      <c r="F90" s="1" t="s">
        <v>279</v>
      </c>
      <c r="G90" s="1">
        <v>67</v>
      </c>
      <c r="H90" s="1">
        <v>15</v>
      </c>
      <c r="I90" s="1">
        <v>44</v>
      </c>
      <c r="J90" s="3">
        <v>59</v>
      </c>
      <c r="K90" s="17" t="str">
        <f t="shared" si="8"/>
        <v>FAIL</v>
      </c>
      <c r="L90" s="21" t="str">
        <f t="shared" si="9"/>
        <v>Vinod Singh</v>
      </c>
      <c r="M90" s="17" t="str">
        <f t="shared" si="10"/>
        <v>UNIQUE</v>
      </c>
    </row>
    <row r="91" spans="1:13" x14ac:dyDescent="0.3">
      <c r="A91" s="2" t="s">
        <v>280</v>
      </c>
      <c r="B91" s="1" t="s">
        <v>281</v>
      </c>
      <c r="C91" s="1" t="s">
        <v>7</v>
      </c>
      <c r="D91" s="1" t="s">
        <v>19</v>
      </c>
      <c r="E91" s="1">
        <v>1</v>
      </c>
      <c r="F91" s="1" t="s">
        <v>282</v>
      </c>
      <c r="G91" s="1">
        <v>94</v>
      </c>
      <c r="H91" s="1">
        <v>25</v>
      </c>
      <c r="I91" s="1">
        <v>69</v>
      </c>
      <c r="J91" s="3">
        <v>94</v>
      </c>
      <c r="K91" s="17" t="str">
        <f t="shared" si="8"/>
        <v>PASS</v>
      </c>
      <c r="L91" s="21" t="str">
        <f t="shared" si="9"/>
        <v>Neha Joshi</v>
      </c>
      <c r="M91" s="17" t="str">
        <f t="shared" si="10"/>
        <v>UNIQUE</v>
      </c>
    </row>
    <row r="92" spans="1:13" x14ac:dyDescent="0.3">
      <c r="A92" s="2" t="s">
        <v>283</v>
      </c>
      <c r="B92" s="1" t="s">
        <v>284</v>
      </c>
      <c r="C92" s="1" t="s">
        <v>2</v>
      </c>
      <c r="D92" s="1" t="s">
        <v>3</v>
      </c>
      <c r="E92" s="1">
        <v>2</v>
      </c>
      <c r="F92" s="1" t="s">
        <v>285</v>
      </c>
      <c r="G92" s="1">
        <v>72</v>
      </c>
      <c r="H92" s="1">
        <v>18</v>
      </c>
      <c r="I92" s="1">
        <v>50</v>
      </c>
      <c r="J92" s="3">
        <v>68</v>
      </c>
      <c r="K92" s="17" t="str">
        <f t="shared" si="8"/>
        <v>PASS</v>
      </c>
      <c r="L92" s="21" t="str">
        <f t="shared" si="9"/>
        <v>Arvind Patel</v>
      </c>
      <c r="M92" s="17" t="str">
        <f t="shared" si="10"/>
        <v>UNIQUE</v>
      </c>
    </row>
    <row r="93" spans="1:13" x14ac:dyDescent="0.3">
      <c r="A93" s="2" t="s">
        <v>286</v>
      </c>
      <c r="B93" s="1" t="s">
        <v>287</v>
      </c>
      <c r="C93" s="1" t="s">
        <v>7</v>
      </c>
      <c r="D93" s="1" t="s">
        <v>8</v>
      </c>
      <c r="E93" s="1">
        <v>3</v>
      </c>
      <c r="F93" s="1" t="s">
        <v>288</v>
      </c>
      <c r="G93" s="1">
        <v>86</v>
      </c>
      <c r="H93" s="1">
        <v>22</v>
      </c>
      <c r="I93" s="1">
        <v>60</v>
      </c>
      <c r="J93" s="3">
        <v>82</v>
      </c>
      <c r="K93" s="17" t="str">
        <f t="shared" si="8"/>
        <v>PASS</v>
      </c>
      <c r="L93" s="21" t="str">
        <f t="shared" si="9"/>
        <v>Pooja Yadav</v>
      </c>
      <c r="M93" s="17" t="str">
        <f t="shared" si="10"/>
        <v>UNIQUE</v>
      </c>
    </row>
    <row r="94" spans="1:13" x14ac:dyDescent="0.3">
      <c r="A94" s="2" t="s">
        <v>289</v>
      </c>
      <c r="B94" s="1" t="s">
        <v>290</v>
      </c>
      <c r="C94" s="1" t="s">
        <v>2</v>
      </c>
      <c r="D94" s="1" t="s">
        <v>12</v>
      </c>
      <c r="E94" s="1">
        <v>4</v>
      </c>
      <c r="F94" s="1" t="s">
        <v>291</v>
      </c>
      <c r="G94" s="1">
        <v>63</v>
      </c>
      <c r="H94" s="1">
        <v>14</v>
      </c>
      <c r="I94" s="1">
        <v>41</v>
      </c>
      <c r="J94" s="3">
        <v>55</v>
      </c>
      <c r="K94" s="17" t="str">
        <f t="shared" si="8"/>
        <v>FAIL</v>
      </c>
      <c r="L94" s="21" t="str">
        <f t="shared" si="9"/>
        <v>Mahesh Kumar</v>
      </c>
      <c r="M94" s="17" t="str">
        <f t="shared" si="10"/>
        <v>UNIQUE</v>
      </c>
    </row>
    <row r="95" spans="1:13" x14ac:dyDescent="0.3">
      <c r="A95" s="2" t="s">
        <v>292</v>
      </c>
      <c r="B95" s="1" t="s">
        <v>293</v>
      </c>
      <c r="C95" s="1" t="s">
        <v>7</v>
      </c>
      <c r="D95" s="1" t="s">
        <v>19</v>
      </c>
      <c r="E95" s="1">
        <v>5</v>
      </c>
      <c r="F95" s="1" t="s">
        <v>110</v>
      </c>
      <c r="G95" s="1">
        <v>90</v>
      </c>
      <c r="H95" s="1">
        <v>24</v>
      </c>
      <c r="I95" s="1">
        <v>65</v>
      </c>
      <c r="J95" s="3">
        <v>89</v>
      </c>
      <c r="K95" s="17" t="str">
        <f t="shared" si="8"/>
        <v>PASS</v>
      </c>
      <c r="L95" s="21" t="str">
        <f t="shared" si="9"/>
        <v>Komal Arora</v>
      </c>
      <c r="M95" s="17" t="str">
        <f t="shared" si="10"/>
        <v>UNIQUE</v>
      </c>
    </row>
    <row r="96" spans="1:13" x14ac:dyDescent="0.3">
      <c r="A96" s="2" t="s">
        <v>294</v>
      </c>
      <c r="B96" s="1" t="s">
        <v>295</v>
      </c>
      <c r="C96" s="1" t="s">
        <v>2</v>
      </c>
      <c r="D96" s="1" t="s">
        <v>3</v>
      </c>
      <c r="E96" s="1">
        <v>6</v>
      </c>
      <c r="F96" s="1" t="s">
        <v>296</v>
      </c>
      <c r="G96" s="1">
        <v>71</v>
      </c>
      <c r="H96" s="1">
        <v>17</v>
      </c>
      <c r="I96" s="1">
        <v>49</v>
      </c>
      <c r="J96" s="3">
        <v>66</v>
      </c>
      <c r="K96" s="17" t="str">
        <f t="shared" si="8"/>
        <v>PASS</v>
      </c>
      <c r="L96" s="21" t="str">
        <f t="shared" si="9"/>
        <v>Sunil Rathore</v>
      </c>
      <c r="M96" s="17" t="str">
        <f t="shared" si="10"/>
        <v>UNIQUE</v>
      </c>
    </row>
    <row r="97" spans="1:13" x14ac:dyDescent="0.3">
      <c r="A97" s="2" t="s">
        <v>297</v>
      </c>
      <c r="B97" s="1" t="s">
        <v>298</v>
      </c>
      <c r="C97" s="1" t="s">
        <v>7</v>
      </c>
      <c r="D97" s="1" t="s">
        <v>8</v>
      </c>
      <c r="E97" s="1">
        <v>1</v>
      </c>
      <c r="F97" s="1" t="s">
        <v>299</v>
      </c>
      <c r="G97" s="1">
        <v>88</v>
      </c>
      <c r="H97" s="1">
        <v>22</v>
      </c>
      <c r="I97" s="1">
        <v>62</v>
      </c>
      <c r="J97" s="3">
        <v>84</v>
      </c>
      <c r="K97" s="17" t="str">
        <f t="shared" si="8"/>
        <v>PASS</v>
      </c>
      <c r="L97" s="21" t="str">
        <f t="shared" si="9"/>
        <v>Rashmi Patel</v>
      </c>
      <c r="M97" s="17" t="str">
        <f t="shared" si="10"/>
        <v>UNIQUE</v>
      </c>
    </row>
    <row r="98" spans="1:13" x14ac:dyDescent="0.3">
      <c r="A98" s="2" t="s">
        <v>300</v>
      </c>
      <c r="B98" s="1" t="s">
        <v>301</v>
      </c>
      <c r="C98" s="1" t="s">
        <v>2</v>
      </c>
      <c r="D98" s="1" t="s">
        <v>12</v>
      </c>
      <c r="E98" s="1">
        <v>2</v>
      </c>
      <c r="F98" s="1" t="s">
        <v>302</v>
      </c>
      <c r="G98" s="1">
        <v>66</v>
      </c>
      <c r="H98" s="1">
        <v>15</v>
      </c>
      <c r="I98" s="1">
        <v>44</v>
      </c>
      <c r="J98" s="3">
        <v>59</v>
      </c>
      <c r="K98" s="17" t="str">
        <f t="shared" si="8"/>
        <v>FAIL</v>
      </c>
      <c r="L98" s="21" t="str">
        <f t="shared" si="9"/>
        <v>Alok Mishra</v>
      </c>
      <c r="M98" s="17" t="str">
        <f t="shared" si="10"/>
        <v>UNIQUE</v>
      </c>
    </row>
    <row r="99" spans="1:13" x14ac:dyDescent="0.3">
      <c r="A99" s="2" t="s">
        <v>303</v>
      </c>
      <c r="B99" s="1" t="s">
        <v>304</v>
      </c>
      <c r="C99" s="1" t="s">
        <v>7</v>
      </c>
      <c r="D99" s="1" t="s">
        <v>19</v>
      </c>
      <c r="E99" s="1">
        <v>3</v>
      </c>
      <c r="F99" s="1" t="s">
        <v>305</v>
      </c>
      <c r="G99" s="1">
        <v>92</v>
      </c>
      <c r="H99" s="1">
        <v>24</v>
      </c>
      <c r="I99" s="1">
        <v>67</v>
      </c>
      <c r="J99" s="3">
        <v>91</v>
      </c>
      <c r="K99" s="17" t="str">
        <f t="shared" si="8"/>
        <v>PASS</v>
      </c>
      <c r="L99" s="21" t="str">
        <f t="shared" si="9"/>
        <v>Priyanka Das</v>
      </c>
      <c r="M99" s="17" t="str">
        <f t="shared" si="10"/>
        <v>UNIQUE</v>
      </c>
    </row>
    <row r="100" spans="1:13" x14ac:dyDescent="0.3">
      <c r="A100" s="2" t="s">
        <v>306</v>
      </c>
      <c r="B100" s="1" t="s">
        <v>307</v>
      </c>
      <c r="C100" s="1" t="s">
        <v>2</v>
      </c>
      <c r="D100" s="1" t="s">
        <v>3</v>
      </c>
      <c r="E100" s="1">
        <v>4</v>
      </c>
      <c r="F100" s="1" t="s">
        <v>308</v>
      </c>
      <c r="G100" s="1">
        <v>75</v>
      </c>
      <c r="H100" s="1">
        <v>18</v>
      </c>
      <c r="I100" s="1">
        <v>54</v>
      </c>
      <c r="J100" s="3">
        <v>72</v>
      </c>
      <c r="K100" s="17" t="str">
        <f t="shared" si="8"/>
        <v>PASS</v>
      </c>
      <c r="L100" s="21" t="str">
        <f t="shared" si="9"/>
        <v>Rohit Yadav</v>
      </c>
      <c r="M100" s="17" t="str">
        <f t="shared" si="10"/>
        <v>UNIQUE</v>
      </c>
    </row>
    <row r="101" spans="1:13" x14ac:dyDescent="0.3">
      <c r="A101" s="2" t="s">
        <v>309</v>
      </c>
      <c r="B101" s="1" t="s">
        <v>310</v>
      </c>
      <c r="C101" s="1" t="s">
        <v>7</v>
      </c>
      <c r="D101" s="1" t="s">
        <v>8</v>
      </c>
      <c r="E101" s="1">
        <v>5</v>
      </c>
      <c r="F101" s="1" t="s">
        <v>311</v>
      </c>
      <c r="G101" s="1">
        <v>84</v>
      </c>
      <c r="H101" s="1">
        <v>21</v>
      </c>
      <c r="I101" s="1">
        <v>59</v>
      </c>
      <c r="J101" s="3">
        <v>80</v>
      </c>
      <c r="K101" s="17" t="str">
        <f t="shared" si="8"/>
        <v>PASS</v>
      </c>
      <c r="L101" s="21" t="str">
        <f t="shared" si="9"/>
        <v>Anjali Singh</v>
      </c>
      <c r="M101" s="17" t="s">
        <v>460</v>
      </c>
    </row>
    <row r="102" spans="1:13" x14ac:dyDescent="0.3">
      <c r="A102" s="2" t="s">
        <v>309</v>
      </c>
      <c r="B102" s="1" t="s">
        <v>310</v>
      </c>
      <c r="C102" s="1" t="s">
        <v>7</v>
      </c>
      <c r="D102" s="1" t="s">
        <v>8</v>
      </c>
      <c r="E102" s="1">
        <v>5</v>
      </c>
      <c r="F102" s="1" t="s">
        <v>311</v>
      </c>
      <c r="G102" s="1">
        <v>84</v>
      </c>
      <c r="H102" s="1">
        <v>21</v>
      </c>
      <c r="I102" s="1">
        <v>59</v>
      </c>
      <c r="J102" s="3">
        <v>80</v>
      </c>
      <c r="K102" s="17" t="str">
        <f t="shared" si="8"/>
        <v>PASS</v>
      </c>
      <c r="L102" s="21" t="str">
        <f t="shared" si="9"/>
        <v>Anjali Singh</v>
      </c>
      <c r="M102" s="17" t="s">
        <v>460</v>
      </c>
    </row>
    <row r="103" spans="1:13" x14ac:dyDescent="0.3">
      <c r="A103" s="2" t="s">
        <v>312</v>
      </c>
      <c r="B103" s="1" t="s">
        <v>313</v>
      </c>
      <c r="C103" s="1" t="s">
        <v>2</v>
      </c>
      <c r="D103" s="1" t="s">
        <v>3</v>
      </c>
      <c r="E103" s="1">
        <v>6</v>
      </c>
      <c r="F103" s="1" t="s">
        <v>314</v>
      </c>
      <c r="G103" s="1">
        <v>72</v>
      </c>
      <c r="H103" s="1">
        <v>18</v>
      </c>
      <c r="I103" s="1">
        <v>50</v>
      </c>
      <c r="J103" s="3">
        <v>68</v>
      </c>
      <c r="K103" s="17" t="str">
        <f t="shared" si="8"/>
        <v>PASS</v>
      </c>
      <c r="L103" s="21" t="str">
        <f t="shared" si="9"/>
        <v>Rohit Verma</v>
      </c>
      <c r="M103" s="17" t="str">
        <f t="shared" si="10"/>
        <v>UNIQUE</v>
      </c>
    </row>
    <row r="104" spans="1:13" x14ac:dyDescent="0.3">
      <c r="A104" s="2" t="s">
        <v>315</v>
      </c>
      <c r="B104" s="1" t="s">
        <v>316</v>
      </c>
      <c r="C104" s="1" t="s">
        <v>7</v>
      </c>
      <c r="D104" s="1" t="s">
        <v>12</v>
      </c>
      <c r="E104" s="1">
        <v>1</v>
      </c>
      <c r="F104" s="1" t="s">
        <v>317</v>
      </c>
      <c r="G104" s="1">
        <v>89</v>
      </c>
      <c r="H104" s="1">
        <v>23</v>
      </c>
      <c r="I104" s="1">
        <v>63</v>
      </c>
      <c r="J104" s="3">
        <v>86</v>
      </c>
      <c r="K104" s="17" t="str">
        <f t="shared" si="8"/>
        <v>PASS</v>
      </c>
      <c r="L104" s="21" t="str">
        <f t="shared" si="9"/>
        <v>Priyanka Mishra</v>
      </c>
      <c r="M104" s="17" t="str">
        <f t="shared" si="10"/>
        <v>UNIQUE</v>
      </c>
    </row>
    <row r="105" spans="1:13" x14ac:dyDescent="0.3">
      <c r="A105" s="2" t="s">
        <v>318</v>
      </c>
      <c r="B105" s="1" t="s">
        <v>319</v>
      </c>
      <c r="C105" s="1" t="s">
        <v>2</v>
      </c>
      <c r="D105" s="1" t="s">
        <v>19</v>
      </c>
      <c r="E105" s="1">
        <v>2</v>
      </c>
      <c r="F105" s="1" t="s">
        <v>320</v>
      </c>
      <c r="G105" s="1">
        <v>65</v>
      </c>
      <c r="H105" s="1">
        <v>15</v>
      </c>
      <c r="I105" s="1">
        <v>43</v>
      </c>
      <c r="J105" s="3">
        <v>58</v>
      </c>
      <c r="K105" s="17" t="str">
        <f t="shared" si="8"/>
        <v>FAIL</v>
      </c>
      <c r="L105" s="21" t="str">
        <f t="shared" si="9"/>
        <v>Ashish Kumar</v>
      </c>
      <c r="M105" s="17" t="str">
        <f t="shared" si="10"/>
        <v>UNIQUE</v>
      </c>
    </row>
    <row r="106" spans="1:13" x14ac:dyDescent="0.3">
      <c r="A106" s="2" t="s">
        <v>321</v>
      </c>
      <c r="B106" s="1" t="s">
        <v>322</v>
      </c>
      <c r="C106" s="1" t="s">
        <v>7</v>
      </c>
      <c r="D106" s="1" t="s">
        <v>8</v>
      </c>
      <c r="E106" s="1">
        <v>3</v>
      </c>
      <c r="F106" s="1" t="s">
        <v>323</v>
      </c>
      <c r="G106" s="1">
        <v>91</v>
      </c>
      <c r="H106" s="1">
        <v>24</v>
      </c>
      <c r="I106" s="1">
        <v>66</v>
      </c>
      <c r="J106" s="3">
        <v>90</v>
      </c>
      <c r="K106" s="17" t="str">
        <f t="shared" si="8"/>
        <v>PASS</v>
      </c>
      <c r="L106" s="21" t="str">
        <f t="shared" si="9"/>
        <v>Neetu Sharma</v>
      </c>
      <c r="M106" s="17" t="str">
        <f t="shared" si="10"/>
        <v>UNIQUE</v>
      </c>
    </row>
    <row r="107" spans="1:13" x14ac:dyDescent="0.3">
      <c r="A107" s="2" t="s">
        <v>324</v>
      </c>
      <c r="B107" s="1" t="s">
        <v>325</v>
      </c>
      <c r="C107" s="1" t="s">
        <v>2</v>
      </c>
      <c r="D107" s="1" t="s">
        <v>3</v>
      </c>
      <c r="E107" s="1">
        <v>4</v>
      </c>
      <c r="F107" s="1" t="s">
        <v>326</v>
      </c>
      <c r="G107" s="1">
        <v>77</v>
      </c>
      <c r="H107" s="1">
        <v>19</v>
      </c>
      <c r="I107" s="1">
        <v>56</v>
      </c>
      <c r="J107" s="3">
        <v>75</v>
      </c>
      <c r="K107" s="17" t="str">
        <f t="shared" si="8"/>
        <v>PASS</v>
      </c>
      <c r="L107" s="21" t="str">
        <f t="shared" si="9"/>
        <v>Sandeep Patel</v>
      </c>
      <c r="M107" s="17" t="str">
        <f t="shared" si="10"/>
        <v>UNIQUE</v>
      </c>
    </row>
    <row r="108" spans="1:13" x14ac:dyDescent="0.3">
      <c r="A108" s="2" t="s">
        <v>327</v>
      </c>
      <c r="B108" s="1" t="s">
        <v>328</v>
      </c>
      <c r="C108" s="1" t="s">
        <v>7</v>
      </c>
      <c r="D108" s="1" t="s">
        <v>12</v>
      </c>
      <c r="E108" s="1">
        <v>5</v>
      </c>
      <c r="F108" s="1" t="s">
        <v>329</v>
      </c>
      <c r="G108" s="1">
        <v>83</v>
      </c>
      <c r="H108" s="1">
        <v>21</v>
      </c>
      <c r="I108" s="1">
        <v>58</v>
      </c>
      <c r="J108" s="3">
        <v>79</v>
      </c>
      <c r="K108" s="17" t="str">
        <f t="shared" si="8"/>
        <v>PASS</v>
      </c>
      <c r="L108" s="21" t="str">
        <f t="shared" si="9"/>
        <v>Ritu Saxena</v>
      </c>
      <c r="M108" s="17" t="str">
        <f t="shared" si="10"/>
        <v>UNIQUE</v>
      </c>
    </row>
    <row r="109" spans="1:13" x14ac:dyDescent="0.3">
      <c r="A109" s="2" t="s">
        <v>330</v>
      </c>
      <c r="B109" s="1" t="s">
        <v>331</v>
      </c>
      <c r="C109" s="1" t="s">
        <v>2</v>
      </c>
      <c r="D109" s="1" t="s">
        <v>19</v>
      </c>
      <c r="E109" s="1">
        <v>6</v>
      </c>
      <c r="F109" s="1" t="s">
        <v>332</v>
      </c>
      <c r="G109" s="1">
        <v>69</v>
      </c>
      <c r="H109" s="1">
        <v>16</v>
      </c>
      <c r="I109" s="1">
        <v>47</v>
      </c>
      <c r="J109" s="3">
        <v>63</v>
      </c>
      <c r="K109" s="17" t="str">
        <f t="shared" si="8"/>
        <v>PASS</v>
      </c>
      <c r="L109" s="21" t="str">
        <f t="shared" si="9"/>
        <v>Vikas Yadav</v>
      </c>
      <c r="M109" s="17" t="str">
        <f t="shared" si="10"/>
        <v>UNIQUE</v>
      </c>
    </row>
    <row r="110" spans="1:13" x14ac:dyDescent="0.3">
      <c r="A110" s="2" t="s">
        <v>333</v>
      </c>
      <c r="B110" s="1" t="s">
        <v>334</v>
      </c>
      <c r="C110" s="1" t="s">
        <v>7</v>
      </c>
      <c r="D110" s="1" t="s">
        <v>8</v>
      </c>
      <c r="E110" s="1">
        <v>1</v>
      </c>
      <c r="F110" s="1" t="s">
        <v>335</v>
      </c>
      <c r="G110" s="1">
        <v>94</v>
      </c>
      <c r="H110" s="1">
        <v>25</v>
      </c>
      <c r="I110" s="1">
        <v>69</v>
      </c>
      <c r="J110" s="3">
        <v>94</v>
      </c>
      <c r="K110" s="17" t="str">
        <f t="shared" si="8"/>
        <v>PASS</v>
      </c>
      <c r="L110" s="21" t="str">
        <f t="shared" si="9"/>
        <v>Monika Jain</v>
      </c>
      <c r="M110" s="17" t="str">
        <f t="shared" si="10"/>
        <v>UNIQUE</v>
      </c>
    </row>
    <row r="111" spans="1:13" x14ac:dyDescent="0.3">
      <c r="A111" s="2" t="s">
        <v>336</v>
      </c>
      <c r="B111" s="1" t="s">
        <v>337</v>
      </c>
      <c r="C111" s="1" t="s">
        <v>2</v>
      </c>
      <c r="D111" s="1" t="s">
        <v>3</v>
      </c>
      <c r="E111" s="1">
        <v>2</v>
      </c>
      <c r="F111" s="1" t="s">
        <v>338</v>
      </c>
      <c r="G111" s="1">
        <v>71</v>
      </c>
      <c r="H111" s="1">
        <v>17</v>
      </c>
      <c r="I111" s="1">
        <v>49</v>
      </c>
      <c r="J111" s="3">
        <v>66</v>
      </c>
      <c r="K111" s="17" t="str">
        <f t="shared" si="8"/>
        <v>PASS</v>
      </c>
      <c r="L111" s="21" t="str">
        <f t="shared" si="9"/>
        <v>Amit Solanki</v>
      </c>
      <c r="M111" s="17" t="str">
        <f t="shared" si="10"/>
        <v>UNIQUE</v>
      </c>
    </row>
    <row r="112" spans="1:13" x14ac:dyDescent="0.3">
      <c r="A112" s="2" t="s">
        <v>339</v>
      </c>
      <c r="B112" s="1" t="s">
        <v>340</v>
      </c>
      <c r="C112" s="1" t="s">
        <v>7</v>
      </c>
      <c r="D112" s="1" t="s">
        <v>12</v>
      </c>
      <c r="E112" s="1">
        <v>3</v>
      </c>
      <c r="F112" s="1" t="s">
        <v>341</v>
      </c>
      <c r="G112" s="1">
        <v>86</v>
      </c>
      <c r="H112" s="1">
        <v>22</v>
      </c>
      <c r="I112" s="1">
        <v>60</v>
      </c>
      <c r="J112" s="3">
        <v>82</v>
      </c>
      <c r="K112" s="17" t="str">
        <f t="shared" si="8"/>
        <v>PASS</v>
      </c>
      <c r="L112" s="21" t="str">
        <f t="shared" si="9"/>
        <v>Poonam Gupta</v>
      </c>
      <c r="M112" s="17" t="str">
        <f t="shared" si="10"/>
        <v>UNIQUE</v>
      </c>
    </row>
    <row r="113" spans="1:13" x14ac:dyDescent="0.3">
      <c r="A113" s="2" t="s">
        <v>342</v>
      </c>
      <c r="B113" s="1" t="s">
        <v>343</v>
      </c>
      <c r="C113" s="1" t="s">
        <v>2</v>
      </c>
      <c r="D113" s="1" t="s">
        <v>19</v>
      </c>
      <c r="E113" s="1">
        <v>4</v>
      </c>
      <c r="F113" s="1" t="s">
        <v>344</v>
      </c>
      <c r="G113" s="1">
        <v>64</v>
      </c>
      <c r="H113" s="1">
        <v>14</v>
      </c>
      <c r="I113" s="1">
        <v>41</v>
      </c>
      <c r="J113" s="3">
        <v>55</v>
      </c>
      <c r="K113" s="17" t="str">
        <f t="shared" si="8"/>
        <v>FAIL</v>
      </c>
      <c r="L113" s="21" t="str">
        <f t="shared" si="9"/>
        <v>Manoj Singh</v>
      </c>
      <c r="M113" s="17" t="str">
        <f t="shared" si="10"/>
        <v>UNIQUE</v>
      </c>
    </row>
    <row r="114" spans="1:13" x14ac:dyDescent="0.3">
      <c r="A114" s="2" t="s">
        <v>345</v>
      </c>
      <c r="B114" s="1" t="s">
        <v>346</v>
      </c>
      <c r="C114" s="1" t="s">
        <v>7</v>
      </c>
      <c r="D114" s="1" t="s">
        <v>8</v>
      </c>
      <c r="E114" s="1">
        <v>5</v>
      </c>
      <c r="F114" s="1" t="s">
        <v>347</v>
      </c>
      <c r="G114" s="1">
        <v>88</v>
      </c>
      <c r="H114" s="1">
        <v>22</v>
      </c>
      <c r="I114" s="1">
        <v>62</v>
      </c>
      <c r="J114" s="3">
        <v>84</v>
      </c>
      <c r="K114" s="17" t="str">
        <f t="shared" si="8"/>
        <v>PASS</v>
      </c>
      <c r="L114" s="21" t="str">
        <f t="shared" si="9"/>
        <v>Kajal Mehta</v>
      </c>
      <c r="M114" s="17" t="str">
        <f t="shared" si="10"/>
        <v>UNIQUE</v>
      </c>
    </row>
    <row r="115" spans="1:13" x14ac:dyDescent="0.3">
      <c r="A115" s="2" t="s">
        <v>348</v>
      </c>
      <c r="B115" s="1" t="s">
        <v>349</v>
      </c>
      <c r="C115" s="1" t="s">
        <v>2</v>
      </c>
      <c r="D115" s="1" t="s">
        <v>3</v>
      </c>
      <c r="E115" s="1">
        <v>6</v>
      </c>
      <c r="F115" s="1" t="s">
        <v>350</v>
      </c>
      <c r="G115" s="1">
        <v>73</v>
      </c>
      <c r="H115" s="1">
        <v>18</v>
      </c>
      <c r="I115" s="1">
        <v>51</v>
      </c>
      <c r="J115" s="3">
        <v>69</v>
      </c>
      <c r="K115" s="17" t="str">
        <f t="shared" si="8"/>
        <v>PASS</v>
      </c>
      <c r="L115" s="21" t="str">
        <f t="shared" si="9"/>
        <v>Nitin Choudhary</v>
      </c>
      <c r="M115" s="17" t="str">
        <f t="shared" si="10"/>
        <v>UNIQUE</v>
      </c>
    </row>
    <row r="116" spans="1:13" x14ac:dyDescent="0.3">
      <c r="A116" s="2" t="s">
        <v>351</v>
      </c>
      <c r="B116" s="1" t="s">
        <v>352</v>
      </c>
      <c r="C116" s="1" t="s">
        <v>7</v>
      </c>
      <c r="D116" s="1" t="s">
        <v>12</v>
      </c>
      <c r="E116" s="1">
        <v>1</v>
      </c>
      <c r="F116" s="1" t="s">
        <v>184</v>
      </c>
      <c r="G116" s="1">
        <v>90</v>
      </c>
      <c r="H116" s="1">
        <v>24</v>
      </c>
      <c r="I116" s="1">
        <v>65</v>
      </c>
      <c r="J116" s="3">
        <v>89</v>
      </c>
      <c r="K116" s="17" t="str">
        <f t="shared" si="8"/>
        <v>PASS</v>
      </c>
      <c r="L116" s="21" t="str">
        <f t="shared" si="9"/>
        <v>Rekha Yadav</v>
      </c>
      <c r="M116" s="17" t="str">
        <f t="shared" si="10"/>
        <v>UNIQUE</v>
      </c>
    </row>
    <row r="117" spans="1:13" x14ac:dyDescent="0.3">
      <c r="A117" s="2" t="s">
        <v>353</v>
      </c>
      <c r="B117" s="1" t="s">
        <v>354</v>
      </c>
      <c r="C117" s="1" t="s">
        <v>2</v>
      </c>
      <c r="D117" s="1" t="s">
        <v>19</v>
      </c>
      <c r="E117" s="1">
        <v>2</v>
      </c>
      <c r="F117" s="1" t="s">
        <v>355</v>
      </c>
      <c r="G117" s="1">
        <v>67</v>
      </c>
      <c r="H117" s="1">
        <v>15</v>
      </c>
      <c r="I117" s="1">
        <v>44</v>
      </c>
      <c r="J117" s="3">
        <v>59</v>
      </c>
      <c r="K117" s="17" t="str">
        <f t="shared" si="8"/>
        <v>FAIL</v>
      </c>
      <c r="L117" s="21" t="str">
        <f t="shared" si="9"/>
        <v>Deepak Verma</v>
      </c>
      <c r="M117" s="17" t="str">
        <f t="shared" si="10"/>
        <v>UNIQUE</v>
      </c>
    </row>
    <row r="118" spans="1:13" x14ac:dyDescent="0.3">
      <c r="A118" s="2" t="s">
        <v>356</v>
      </c>
      <c r="B118" s="1" t="s">
        <v>357</v>
      </c>
      <c r="C118" s="1" t="s">
        <v>7</v>
      </c>
      <c r="D118" s="1" t="s">
        <v>8</v>
      </c>
      <c r="E118" s="1">
        <v>3</v>
      </c>
      <c r="F118" s="1" t="s">
        <v>173</v>
      </c>
      <c r="G118" s="1">
        <v>92</v>
      </c>
      <c r="H118" s="1">
        <v>24</v>
      </c>
      <c r="I118" s="1">
        <v>67</v>
      </c>
      <c r="J118" s="3">
        <v>91</v>
      </c>
      <c r="K118" s="17" t="str">
        <f t="shared" si="8"/>
        <v>PASS</v>
      </c>
      <c r="L118" s="21" t="str">
        <f t="shared" si="9"/>
        <v>Shruti Patel</v>
      </c>
      <c r="M118" s="17" t="str">
        <f t="shared" si="10"/>
        <v>UNIQUE</v>
      </c>
    </row>
    <row r="119" spans="1:13" x14ac:dyDescent="0.3">
      <c r="A119" s="2" t="s">
        <v>358</v>
      </c>
      <c r="B119" s="1" t="s">
        <v>359</v>
      </c>
      <c r="C119" s="1" t="s">
        <v>2</v>
      </c>
      <c r="D119" s="1" t="s">
        <v>3</v>
      </c>
      <c r="E119" s="1">
        <v>4</v>
      </c>
      <c r="F119" s="1" t="s">
        <v>360</v>
      </c>
      <c r="G119" s="1">
        <v>76</v>
      </c>
      <c r="H119" s="1">
        <v>19</v>
      </c>
      <c r="I119" s="1">
        <v>54</v>
      </c>
      <c r="J119" s="3">
        <v>73</v>
      </c>
      <c r="K119" s="17" t="str">
        <f t="shared" si="8"/>
        <v>PASS</v>
      </c>
      <c r="L119" s="21" t="str">
        <f t="shared" si="9"/>
        <v>Rajeev Kumar</v>
      </c>
      <c r="M119" s="17" t="str">
        <f t="shared" si="10"/>
        <v>UNIQUE</v>
      </c>
    </row>
    <row r="120" spans="1:13" x14ac:dyDescent="0.3">
      <c r="A120" s="2" t="s">
        <v>361</v>
      </c>
      <c r="B120" s="1" t="s">
        <v>362</v>
      </c>
      <c r="C120" s="1" t="s">
        <v>7</v>
      </c>
      <c r="D120" s="1" t="s">
        <v>12</v>
      </c>
      <c r="E120" s="1">
        <v>5</v>
      </c>
      <c r="F120" s="1" t="s">
        <v>363</v>
      </c>
      <c r="G120" s="1">
        <v>85</v>
      </c>
      <c r="H120" s="1">
        <v>22</v>
      </c>
      <c r="I120" s="1">
        <v>61</v>
      </c>
      <c r="J120" s="3">
        <v>83</v>
      </c>
      <c r="K120" s="17" t="str">
        <f t="shared" si="8"/>
        <v>PASS</v>
      </c>
      <c r="L120" s="21" t="str">
        <f t="shared" si="9"/>
        <v>Payal Sharma</v>
      </c>
      <c r="M120" s="17" t="str">
        <f t="shared" si="10"/>
        <v>UNIQUE</v>
      </c>
    </row>
    <row r="121" spans="1:13" x14ac:dyDescent="0.3">
      <c r="A121" s="2" t="s">
        <v>364</v>
      </c>
      <c r="B121" s="1" t="s">
        <v>365</v>
      </c>
      <c r="C121" s="1" t="s">
        <v>2</v>
      </c>
      <c r="D121" s="1" t="s">
        <v>19</v>
      </c>
      <c r="E121" s="1">
        <v>6</v>
      </c>
      <c r="F121" s="1" t="s">
        <v>366</v>
      </c>
      <c r="G121" s="1">
        <v>63</v>
      </c>
      <c r="H121" s="1">
        <v>14</v>
      </c>
      <c r="I121" s="1">
        <v>41</v>
      </c>
      <c r="J121" s="3">
        <v>55</v>
      </c>
      <c r="K121" s="17" t="str">
        <f t="shared" si="8"/>
        <v>FAIL</v>
      </c>
      <c r="L121" s="21" t="str">
        <f t="shared" si="9"/>
        <v>Sunil Yadav</v>
      </c>
      <c r="M121" s="17" t="str">
        <f t="shared" si="10"/>
        <v>UNIQUE</v>
      </c>
    </row>
    <row r="122" spans="1:13" x14ac:dyDescent="0.3">
      <c r="A122" s="2" t="s">
        <v>367</v>
      </c>
      <c r="B122" s="1" t="s">
        <v>368</v>
      </c>
      <c r="C122" s="1" t="s">
        <v>7</v>
      </c>
      <c r="D122" s="1" t="s">
        <v>8</v>
      </c>
      <c r="E122" s="1">
        <v>1</v>
      </c>
      <c r="F122" s="1" t="s">
        <v>369</v>
      </c>
      <c r="G122" s="1">
        <v>91</v>
      </c>
      <c r="H122" s="1">
        <v>24</v>
      </c>
      <c r="I122" s="1">
        <v>66</v>
      </c>
      <c r="J122" s="3">
        <v>90</v>
      </c>
      <c r="K122" s="17" t="str">
        <f t="shared" si="8"/>
        <v>PASS</v>
      </c>
      <c r="L122" s="21" t="str">
        <f t="shared" si="9"/>
        <v>Ankita Joshi</v>
      </c>
      <c r="M122" s="17" t="str">
        <f t="shared" si="10"/>
        <v>UNIQUE</v>
      </c>
    </row>
    <row r="123" spans="1:13" x14ac:dyDescent="0.3">
      <c r="A123" s="2" t="s">
        <v>370</v>
      </c>
      <c r="B123" s="1" t="s">
        <v>371</v>
      </c>
      <c r="C123" s="1" t="s">
        <v>2</v>
      </c>
      <c r="D123" s="1" t="s">
        <v>3</v>
      </c>
      <c r="E123" s="1">
        <v>2</v>
      </c>
      <c r="F123" s="1" t="s">
        <v>237</v>
      </c>
      <c r="G123" s="1">
        <v>74</v>
      </c>
      <c r="H123" s="1">
        <v>18</v>
      </c>
      <c r="I123" s="1">
        <v>52</v>
      </c>
      <c r="J123" s="3">
        <v>70</v>
      </c>
      <c r="K123" s="17" t="str">
        <f t="shared" si="8"/>
        <v>PASS</v>
      </c>
      <c r="L123" s="21" t="str">
        <f t="shared" si="9"/>
        <v>Hemant Patel</v>
      </c>
      <c r="M123" s="17" t="str">
        <f t="shared" si="10"/>
        <v>UNIQUE</v>
      </c>
    </row>
    <row r="124" spans="1:13" x14ac:dyDescent="0.3">
      <c r="A124" s="2" t="s">
        <v>372</v>
      </c>
      <c r="B124" s="1" t="s">
        <v>373</v>
      </c>
      <c r="C124" s="1" t="s">
        <v>7</v>
      </c>
      <c r="D124" s="1" t="s">
        <v>12</v>
      </c>
      <c r="E124" s="1">
        <v>3</v>
      </c>
      <c r="F124" s="1" t="s">
        <v>219</v>
      </c>
      <c r="G124" s="1">
        <v>87</v>
      </c>
      <c r="H124" s="1">
        <v>22</v>
      </c>
      <c r="I124" s="1">
        <v>61</v>
      </c>
      <c r="J124" s="3">
        <v>83</v>
      </c>
      <c r="K124" s="17" t="str">
        <f t="shared" si="8"/>
        <v>PASS</v>
      </c>
      <c r="L124" s="21" t="str">
        <f t="shared" si="9"/>
        <v>Priyanshi Singh</v>
      </c>
      <c r="M124" s="17" t="str">
        <f t="shared" si="10"/>
        <v>UNIQUE</v>
      </c>
    </row>
    <row r="125" spans="1:13" x14ac:dyDescent="0.3">
      <c r="A125" s="2" t="s">
        <v>374</v>
      </c>
      <c r="B125" s="1" t="s">
        <v>375</v>
      </c>
      <c r="C125" s="1" t="s">
        <v>2</v>
      </c>
      <c r="D125" s="1" t="s">
        <v>19</v>
      </c>
      <c r="E125" s="1">
        <v>4</v>
      </c>
      <c r="F125" s="1" t="s">
        <v>376</v>
      </c>
      <c r="G125" s="1">
        <v>66</v>
      </c>
      <c r="H125" s="1">
        <v>15</v>
      </c>
      <c r="I125" s="1">
        <v>44</v>
      </c>
      <c r="J125" s="3">
        <v>59</v>
      </c>
      <c r="K125" s="17" t="str">
        <f t="shared" si="8"/>
        <v>FAIL</v>
      </c>
      <c r="L125" s="21" t="str">
        <f t="shared" si="9"/>
        <v>Rakesh Mishra</v>
      </c>
      <c r="M125" s="17" t="str">
        <f t="shared" si="10"/>
        <v>UNIQUE</v>
      </c>
    </row>
    <row r="126" spans="1:13" x14ac:dyDescent="0.3">
      <c r="A126" s="2" t="s">
        <v>377</v>
      </c>
      <c r="B126" s="1" t="s">
        <v>378</v>
      </c>
      <c r="C126" s="1" t="s">
        <v>7</v>
      </c>
      <c r="D126" s="1" t="s">
        <v>8</v>
      </c>
      <c r="E126" s="1">
        <v>5</v>
      </c>
      <c r="F126" s="1" t="s">
        <v>4</v>
      </c>
      <c r="G126" s="1">
        <v>93</v>
      </c>
      <c r="H126" s="1">
        <v>25</v>
      </c>
      <c r="I126" s="1">
        <v>69</v>
      </c>
      <c r="J126" s="3">
        <v>94</v>
      </c>
      <c r="K126" s="17" t="str">
        <f t="shared" si="8"/>
        <v>PASS</v>
      </c>
      <c r="L126" s="21" t="str">
        <f t="shared" si="9"/>
        <v>Isha Shah</v>
      </c>
      <c r="M126" s="17" t="str">
        <f t="shared" si="10"/>
        <v>UNIQUE</v>
      </c>
    </row>
    <row r="127" spans="1:13" x14ac:dyDescent="0.3">
      <c r="A127" s="2" t="s">
        <v>379</v>
      </c>
      <c r="B127" s="1" t="s">
        <v>380</v>
      </c>
      <c r="C127" s="1" t="s">
        <v>2</v>
      </c>
      <c r="D127" s="1" t="s">
        <v>3</v>
      </c>
      <c r="E127" s="1">
        <v>6</v>
      </c>
      <c r="F127" s="1" t="s">
        <v>381</v>
      </c>
      <c r="G127" s="1">
        <v>78</v>
      </c>
      <c r="H127" s="1">
        <v>19</v>
      </c>
      <c r="I127" s="1">
        <v>55</v>
      </c>
      <c r="J127" s="3">
        <v>74</v>
      </c>
      <c r="K127" s="17" t="str">
        <f t="shared" si="8"/>
        <v>PASS</v>
      </c>
      <c r="L127" s="21" t="str">
        <f t="shared" si="9"/>
        <v>Kunal Thakur</v>
      </c>
      <c r="M127" s="17" t="str">
        <f t="shared" si="10"/>
        <v>UNIQUE</v>
      </c>
    </row>
    <row r="128" spans="1:13" x14ac:dyDescent="0.3">
      <c r="A128" s="2" t="s">
        <v>382</v>
      </c>
      <c r="B128" s="1" t="s">
        <v>383</v>
      </c>
      <c r="C128" s="1" t="s">
        <v>7</v>
      </c>
      <c r="D128" s="1" t="s">
        <v>12</v>
      </c>
      <c r="E128" s="1">
        <v>1</v>
      </c>
      <c r="F128" s="1" t="s">
        <v>249</v>
      </c>
      <c r="G128" s="1">
        <v>84</v>
      </c>
      <c r="H128" s="1">
        <v>21</v>
      </c>
      <c r="I128" s="1">
        <v>59</v>
      </c>
      <c r="J128" s="3">
        <v>80</v>
      </c>
      <c r="K128" s="17" t="str">
        <f t="shared" si="8"/>
        <v>PASS</v>
      </c>
      <c r="L128" s="21" t="str">
        <f t="shared" si="9"/>
        <v>Swati Verma</v>
      </c>
      <c r="M128" s="17" t="str">
        <f t="shared" si="10"/>
        <v>UNIQUE</v>
      </c>
    </row>
    <row r="129" spans="1:13" x14ac:dyDescent="0.3">
      <c r="A129" s="2" t="s">
        <v>384</v>
      </c>
      <c r="B129" s="1" t="s">
        <v>385</v>
      </c>
      <c r="C129" s="1" t="s">
        <v>2</v>
      </c>
      <c r="D129" s="1" t="s">
        <v>19</v>
      </c>
      <c r="E129" s="1">
        <v>2</v>
      </c>
      <c r="F129" s="1" t="s">
        <v>386</v>
      </c>
      <c r="G129" s="1">
        <v>68</v>
      </c>
      <c r="H129" s="1">
        <v>16</v>
      </c>
      <c r="I129" s="1">
        <v>45</v>
      </c>
      <c r="J129" s="3">
        <v>61</v>
      </c>
      <c r="K129" s="17" t="str">
        <f t="shared" si="8"/>
        <v>PASS</v>
      </c>
      <c r="L129" s="21" t="str">
        <f t="shared" si="9"/>
        <v>Ashok Yadav</v>
      </c>
      <c r="M129" s="17" t="str">
        <f t="shared" si="10"/>
        <v>UNIQUE</v>
      </c>
    </row>
    <row r="130" spans="1:13" x14ac:dyDescent="0.3">
      <c r="A130" s="2" t="s">
        <v>387</v>
      </c>
      <c r="B130" s="1" t="s">
        <v>388</v>
      </c>
      <c r="C130" s="1" t="s">
        <v>7</v>
      </c>
      <c r="D130" s="1" t="s">
        <v>8</v>
      </c>
      <c r="E130" s="1">
        <v>3</v>
      </c>
      <c r="F130" s="1" t="s">
        <v>389</v>
      </c>
      <c r="G130" s="1">
        <v>90</v>
      </c>
      <c r="H130" s="1">
        <v>24</v>
      </c>
      <c r="I130" s="1">
        <v>65</v>
      </c>
      <c r="J130" s="3">
        <v>89</v>
      </c>
      <c r="K130" s="17" t="str">
        <f t="shared" si="8"/>
        <v>PASS</v>
      </c>
      <c r="L130" s="21" t="str">
        <f t="shared" si="9"/>
        <v>Rimple Kaur</v>
      </c>
      <c r="M130" s="17" t="str">
        <f t="shared" si="10"/>
        <v>UNIQUE</v>
      </c>
    </row>
    <row r="131" spans="1:13" x14ac:dyDescent="0.3">
      <c r="A131" s="2" t="s">
        <v>390</v>
      </c>
      <c r="B131" s="1" t="s">
        <v>391</v>
      </c>
      <c r="C131" s="1" t="s">
        <v>2</v>
      </c>
      <c r="D131" s="1" t="s">
        <v>3</v>
      </c>
      <c r="E131" s="1">
        <v>4</v>
      </c>
      <c r="F131" s="1" t="s">
        <v>392</v>
      </c>
      <c r="G131" s="1">
        <v>72</v>
      </c>
      <c r="H131" s="1">
        <v>18</v>
      </c>
      <c r="I131" s="1">
        <v>50</v>
      </c>
      <c r="J131" s="3">
        <v>68</v>
      </c>
      <c r="K131" s="17" t="str">
        <f t="shared" ref="K131:K152" si="11">IF(J131&gt;=60,"PASS","FAIL")</f>
        <v>PASS</v>
      </c>
      <c r="L131" s="21" t="str">
        <f t="shared" ref="L131:L152" si="12">IF(B131="","NA",B131)</f>
        <v>Piyush Jain</v>
      </c>
      <c r="M131" s="17" t="str">
        <f t="shared" ref="M131:M152" si="13">IF(COUNTIF(A:A,A131)&gt;1,"DUPLICATE","UNIQUE")</f>
        <v>UNIQUE</v>
      </c>
    </row>
    <row r="132" spans="1:13" x14ac:dyDescent="0.3">
      <c r="A132" s="2" t="s">
        <v>393</v>
      </c>
      <c r="B132" s="1" t="s">
        <v>394</v>
      </c>
      <c r="C132" s="1" t="s">
        <v>7</v>
      </c>
      <c r="D132" s="1" t="s">
        <v>12</v>
      </c>
      <c r="E132" s="1">
        <v>5</v>
      </c>
      <c r="F132" s="1" t="s">
        <v>395</v>
      </c>
      <c r="G132" s="1">
        <v>88</v>
      </c>
      <c r="H132" s="1">
        <v>22</v>
      </c>
      <c r="I132" s="1">
        <v>62</v>
      </c>
      <c r="J132" s="3">
        <v>84</v>
      </c>
      <c r="K132" s="17" t="str">
        <f t="shared" si="11"/>
        <v>PASS</v>
      </c>
      <c r="L132" s="21" t="str">
        <f t="shared" si="12"/>
        <v>Sonal Trivedi</v>
      </c>
      <c r="M132" s="17" t="str">
        <f t="shared" si="13"/>
        <v>UNIQUE</v>
      </c>
    </row>
    <row r="133" spans="1:13" x14ac:dyDescent="0.3">
      <c r="A133" s="2" t="s">
        <v>396</v>
      </c>
      <c r="B133" s="1" t="s">
        <v>397</v>
      </c>
      <c r="C133" s="1" t="s">
        <v>2</v>
      </c>
      <c r="D133" s="1" t="s">
        <v>19</v>
      </c>
      <c r="E133" s="1">
        <v>6</v>
      </c>
      <c r="F133" s="1" t="s">
        <v>398</v>
      </c>
      <c r="G133" s="1">
        <v>65</v>
      </c>
      <c r="H133" s="1">
        <v>15</v>
      </c>
      <c r="I133" s="1">
        <v>43</v>
      </c>
      <c r="J133" s="3">
        <v>58</v>
      </c>
      <c r="K133" s="17" t="str">
        <f t="shared" si="11"/>
        <v>FAIL</v>
      </c>
      <c r="L133" s="21" t="str">
        <f t="shared" si="12"/>
        <v>Vinay Kumar</v>
      </c>
      <c r="M133" s="17" t="str">
        <f t="shared" si="13"/>
        <v>UNIQUE</v>
      </c>
    </row>
    <row r="134" spans="1:13" x14ac:dyDescent="0.3">
      <c r="A134" s="2" t="s">
        <v>399</v>
      </c>
      <c r="B134" s="1" t="s">
        <v>400</v>
      </c>
      <c r="C134" s="1" t="s">
        <v>7</v>
      </c>
      <c r="D134" s="1" t="s">
        <v>8</v>
      </c>
      <c r="E134" s="1">
        <v>1</v>
      </c>
      <c r="F134" s="1" t="s">
        <v>261</v>
      </c>
      <c r="G134" s="1">
        <v>92</v>
      </c>
      <c r="H134" s="1">
        <v>24</v>
      </c>
      <c r="I134" s="1">
        <v>67</v>
      </c>
      <c r="J134" s="3">
        <v>91</v>
      </c>
      <c r="K134" s="17" t="str">
        <f t="shared" si="11"/>
        <v>PASS</v>
      </c>
      <c r="L134" s="21" t="str">
        <f t="shared" si="12"/>
        <v>Nikita Parmar</v>
      </c>
      <c r="M134" s="17" t="str">
        <f t="shared" si="13"/>
        <v>UNIQUE</v>
      </c>
    </row>
    <row r="135" spans="1:13" x14ac:dyDescent="0.3">
      <c r="A135" s="2" t="s">
        <v>401</v>
      </c>
      <c r="B135" s="1" t="s">
        <v>402</v>
      </c>
      <c r="C135" s="1" t="s">
        <v>2</v>
      </c>
      <c r="D135" s="1" t="s">
        <v>3</v>
      </c>
      <c r="E135" s="1">
        <v>2</v>
      </c>
      <c r="F135" s="1" t="s">
        <v>403</v>
      </c>
      <c r="G135" s="1">
        <v>75</v>
      </c>
      <c r="H135" s="1">
        <v>18</v>
      </c>
      <c r="I135" s="1">
        <v>54</v>
      </c>
      <c r="J135" s="3">
        <v>72</v>
      </c>
      <c r="K135" s="17" t="str">
        <f t="shared" si="11"/>
        <v>PASS</v>
      </c>
      <c r="L135" s="21" t="str">
        <f t="shared" si="12"/>
        <v>Sachin Yadav</v>
      </c>
      <c r="M135" s="17" t="str">
        <f t="shared" si="13"/>
        <v>UNIQUE</v>
      </c>
    </row>
    <row r="136" spans="1:13" x14ac:dyDescent="0.3">
      <c r="A136" s="2" t="s">
        <v>404</v>
      </c>
      <c r="B136" s="1" t="s">
        <v>405</v>
      </c>
      <c r="C136" s="1" t="s">
        <v>7</v>
      </c>
      <c r="D136" s="1" t="s">
        <v>12</v>
      </c>
      <c r="E136" s="1">
        <v>3</v>
      </c>
      <c r="F136" s="1" t="s">
        <v>406</v>
      </c>
      <c r="G136" s="1">
        <v>86</v>
      </c>
      <c r="H136" s="1">
        <v>22</v>
      </c>
      <c r="I136" s="1">
        <v>60</v>
      </c>
      <c r="J136" s="3">
        <v>82</v>
      </c>
      <c r="K136" s="17" t="str">
        <f t="shared" si="11"/>
        <v>PASS</v>
      </c>
      <c r="L136" s="21" t="str">
        <f t="shared" si="12"/>
        <v>Rashmi Gupta</v>
      </c>
      <c r="M136" s="17" t="str">
        <f t="shared" si="13"/>
        <v>UNIQUE</v>
      </c>
    </row>
    <row r="137" spans="1:13" x14ac:dyDescent="0.3">
      <c r="A137" s="2" t="s">
        <v>407</v>
      </c>
      <c r="B137" s="1" t="s">
        <v>408</v>
      </c>
      <c r="C137" s="1" t="s">
        <v>2</v>
      </c>
      <c r="D137" s="1" t="s">
        <v>19</v>
      </c>
      <c r="E137" s="1">
        <v>4</v>
      </c>
      <c r="F137" s="1" t="s">
        <v>288</v>
      </c>
      <c r="G137" s="1">
        <v>64</v>
      </c>
      <c r="H137" s="1">
        <v>14</v>
      </c>
      <c r="I137" s="1">
        <v>41</v>
      </c>
      <c r="J137" s="3">
        <v>55</v>
      </c>
      <c r="K137" s="17" t="str">
        <f t="shared" si="11"/>
        <v>FAIL</v>
      </c>
      <c r="L137" s="21" t="str">
        <f t="shared" si="12"/>
        <v>Arun Singh</v>
      </c>
      <c r="M137" s="17" t="str">
        <f t="shared" si="13"/>
        <v>UNIQUE</v>
      </c>
    </row>
    <row r="138" spans="1:13" x14ac:dyDescent="0.3">
      <c r="A138" s="2" t="s">
        <v>409</v>
      </c>
      <c r="B138" s="1" t="s">
        <v>410</v>
      </c>
      <c r="C138" s="1" t="s">
        <v>7</v>
      </c>
      <c r="D138" s="1" t="s">
        <v>8</v>
      </c>
      <c r="E138" s="1">
        <v>5</v>
      </c>
      <c r="F138" s="1" t="s">
        <v>411</v>
      </c>
      <c r="G138" s="1">
        <v>91</v>
      </c>
      <c r="H138" s="1">
        <v>24</v>
      </c>
      <c r="I138" s="1">
        <v>66</v>
      </c>
      <c r="J138" s="3">
        <v>90</v>
      </c>
      <c r="K138" s="17" t="str">
        <f t="shared" si="11"/>
        <v>PASS</v>
      </c>
      <c r="L138" s="21" t="str">
        <f t="shared" si="12"/>
        <v>Komal Patel</v>
      </c>
      <c r="M138" s="17" t="str">
        <f t="shared" si="13"/>
        <v>UNIQUE</v>
      </c>
    </row>
    <row r="139" spans="1:13" x14ac:dyDescent="0.3">
      <c r="A139" s="2" t="s">
        <v>412</v>
      </c>
      <c r="B139" s="1" t="s">
        <v>413</v>
      </c>
      <c r="C139" s="1" t="s">
        <v>2</v>
      </c>
      <c r="D139" s="1" t="s">
        <v>3</v>
      </c>
      <c r="E139" s="1">
        <v>6</v>
      </c>
      <c r="F139" s="1" t="s">
        <v>414</v>
      </c>
      <c r="G139" s="1">
        <v>77</v>
      </c>
      <c r="H139" s="1">
        <v>19</v>
      </c>
      <c r="I139" s="1">
        <v>56</v>
      </c>
      <c r="J139" s="3">
        <v>75</v>
      </c>
      <c r="K139" s="17" t="str">
        <f t="shared" si="11"/>
        <v>PASS</v>
      </c>
      <c r="L139" s="21" t="str">
        <f t="shared" si="12"/>
        <v>Mohit Sharma</v>
      </c>
      <c r="M139" s="17" t="str">
        <f t="shared" si="13"/>
        <v>UNIQUE</v>
      </c>
    </row>
    <row r="140" spans="1:13" x14ac:dyDescent="0.3">
      <c r="A140" s="2" t="s">
        <v>415</v>
      </c>
      <c r="B140" s="1" t="s">
        <v>416</v>
      </c>
      <c r="C140" s="1" t="s">
        <v>7</v>
      </c>
      <c r="D140" s="1" t="s">
        <v>12</v>
      </c>
      <c r="E140" s="1">
        <v>1</v>
      </c>
      <c r="F140" s="1" t="s">
        <v>417</v>
      </c>
      <c r="G140" s="1">
        <v>83</v>
      </c>
      <c r="H140" s="1">
        <v>21</v>
      </c>
      <c r="I140" s="1">
        <v>58</v>
      </c>
      <c r="J140" s="3">
        <v>79</v>
      </c>
      <c r="K140" s="17" t="str">
        <f t="shared" si="11"/>
        <v>PASS</v>
      </c>
      <c r="L140" s="21" t="str">
        <f t="shared" si="12"/>
        <v>Prachi Jain</v>
      </c>
      <c r="M140" s="17" t="str">
        <f t="shared" si="13"/>
        <v>UNIQUE</v>
      </c>
    </row>
    <row r="141" spans="1:13" x14ac:dyDescent="0.3">
      <c r="A141" s="2" t="s">
        <v>418</v>
      </c>
      <c r="B141" s="1" t="s">
        <v>419</v>
      </c>
      <c r="C141" s="1" t="s">
        <v>2</v>
      </c>
      <c r="D141" s="1" t="s">
        <v>19</v>
      </c>
      <c r="E141" s="1">
        <v>2</v>
      </c>
      <c r="F141" s="1" t="s">
        <v>252</v>
      </c>
      <c r="G141" s="1">
        <v>69</v>
      </c>
      <c r="H141" s="1">
        <v>16</v>
      </c>
      <c r="I141" s="1">
        <v>47</v>
      </c>
      <c r="J141" s="3">
        <v>63</v>
      </c>
      <c r="K141" s="17" t="str">
        <f t="shared" si="11"/>
        <v>PASS</v>
      </c>
      <c r="L141" s="21" t="str">
        <f t="shared" si="12"/>
        <v>Dinesh Yadav</v>
      </c>
      <c r="M141" s="17" t="str">
        <f t="shared" si="13"/>
        <v>UNIQUE</v>
      </c>
    </row>
    <row r="142" spans="1:13" x14ac:dyDescent="0.3">
      <c r="A142" s="2" t="s">
        <v>420</v>
      </c>
      <c r="B142" s="1" t="s">
        <v>421</v>
      </c>
      <c r="C142" s="1" t="s">
        <v>7</v>
      </c>
      <c r="D142" s="1" t="s">
        <v>8</v>
      </c>
      <c r="E142" s="1">
        <v>3</v>
      </c>
      <c r="F142" s="1" t="s">
        <v>13</v>
      </c>
      <c r="G142" s="1">
        <v>94</v>
      </c>
      <c r="H142" s="1">
        <v>25</v>
      </c>
      <c r="I142" s="1">
        <v>69</v>
      </c>
      <c r="J142" s="3">
        <v>94</v>
      </c>
      <c r="K142" s="17" t="str">
        <f t="shared" si="11"/>
        <v>PASS</v>
      </c>
      <c r="L142" s="21" t="str">
        <f t="shared" si="12"/>
        <v>Tina Shah</v>
      </c>
      <c r="M142" s="17" t="str">
        <f t="shared" si="13"/>
        <v>UNIQUE</v>
      </c>
    </row>
    <row r="143" spans="1:13" x14ac:dyDescent="0.3">
      <c r="A143" s="2" t="s">
        <v>422</v>
      </c>
      <c r="B143" s="1" t="s">
        <v>423</v>
      </c>
      <c r="C143" s="1" t="s">
        <v>2</v>
      </c>
      <c r="D143" s="1" t="s">
        <v>3</v>
      </c>
      <c r="E143" s="1">
        <v>4</v>
      </c>
      <c r="F143" s="1" t="s">
        <v>424</v>
      </c>
      <c r="G143" s="1">
        <v>71</v>
      </c>
      <c r="H143" s="1">
        <v>17</v>
      </c>
      <c r="I143" s="1">
        <v>49</v>
      </c>
      <c r="J143" s="3">
        <v>66</v>
      </c>
      <c r="K143" s="17" t="str">
        <f t="shared" si="11"/>
        <v>PASS</v>
      </c>
      <c r="L143" s="21" t="str">
        <f t="shared" si="12"/>
        <v>Rajiv Kumar</v>
      </c>
      <c r="M143" s="17" t="str">
        <f t="shared" si="13"/>
        <v>UNIQUE</v>
      </c>
    </row>
    <row r="144" spans="1:13" x14ac:dyDescent="0.3">
      <c r="A144" s="2" t="s">
        <v>425</v>
      </c>
      <c r="B144" s="1" t="s">
        <v>426</v>
      </c>
      <c r="C144" s="1" t="s">
        <v>7</v>
      </c>
      <c r="D144" s="1" t="s">
        <v>12</v>
      </c>
      <c r="E144" s="1">
        <v>5</v>
      </c>
      <c r="F144" s="1" t="s">
        <v>225</v>
      </c>
      <c r="G144" s="1">
        <v>85</v>
      </c>
      <c r="H144" s="1">
        <v>22</v>
      </c>
      <c r="I144" s="1">
        <v>61</v>
      </c>
      <c r="J144" s="3">
        <v>83</v>
      </c>
      <c r="K144" s="17" t="str">
        <f t="shared" si="11"/>
        <v>PASS</v>
      </c>
      <c r="L144" s="21" t="str">
        <f t="shared" si="12"/>
        <v>Shweta Mishra</v>
      </c>
      <c r="M144" s="17" t="str">
        <f t="shared" si="13"/>
        <v>UNIQUE</v>
      </c>
    </row>
    <row r="145" spans="1:13" x14ac:dyDescent="0.3">
      <c r="A145" s="2" t="s">
        <v>427</v>
      </c>
      <c r="B145" s="1" t="s">
        <v>428</v>
      </c>
      <c r="C145" s="1" t="s">
        <v>2</v>
      </c>
      <c r="D145" s="1" t="s">
        <v>19</v>
      </c>
      <c r="E145" s="1">
        <v>6</v>
      </c>
      <c r="F145" s="1" t="s">
        <v>279</v>
      </c>
      <c r="G145" s="1">
        <v>63</v>
      </c>
      <c r="H145" s="1">
        <v>14</v>
      </c>
      <c r="I145" s="1">
        <v>41</v>
      </c>
      <c r="J145" s="3">
        <v>55</v>
      </c>
      <c r="K145" s="17" t="str">
        <f t="shared" si="11"/>
        <v>FAIL</v>
      </c>
      <c r="L145" s="21" t="str">
        <f t="shared" si="12"/>
        <v>Pankaj Singh</v>
      </c>
      <c r="M145" s="17" t="str">
        <f t="shared" si="13"/>
        <v>UNIQUE</v>
      </c>
    </row>
    <row r="146" spans="1:13" x14ac:dyDescent="0.3">
      <c r="A146" s="2" t="s">
        <v>429</v>
      </c>
      <c r="B146" s="1" t="s">
        <v>430</v>
      </c>
      <c r="C146" s="1" t="s">
        <v>7</v>
      </c>
      <c r="D146" s="1" t="s">
        <v>8</v>
      </c>
      <c r="E146" s="1">
        <v>1</v>
      </c>
      <c r="F146" s="1" t="s">
        <v>431</v>
      </c>
      <c r="G146" s="1">
        <v>90</v>
      </c>
      <c r="H146" s="1">
        <v>24</v>
      </c>
      <c r="I146" s="1">
        <v>65</v>
      </c>
      <c r="J146" s="3">
        <v>89</v>
      </c>
      <c r="K146" s="17" t="str">
        <f t="shared" si="11"/>
        <v>PASS</v>
      </c>
      <c r="L146" s="21" t="str">
        <f t="shared" si="12"/>
        <v>Aarti Joshi</v>
      </c>
      <c r="M146" s="17" t="str">
        <f t="shared" si="13"/>
        <v>UNIQUE</v>
      </c>
    </row>
    <row r="147" spans="1:13" x14ac:dyDescent="0.3">
      <c r="A147" s="2" t="s">
        <v>432</v>
      </c>
      <c r="B147" s="1" t="s">
        <v>433</v>
      </c>
      <c r="C147" s="1" t="s">
        <v>2</v>
      </c>
      <c r="D147" s="1" t="s">
        <v>3</v>
      </c>
      <c r="E147" s="1">
        <v>2</v>
      </c>
      <c r="F147" s="1" t="s">
        <v>434</v>
      </c>
      <c r="G147" s="1">
        <v>76</v>
      </c>
      <c r="H147" s="1">
        <v>19</v>
      </c>
      <c r="I147" s="1">
        <v>54</v>
      </c>
      <c r="J147" s="3">
        <v>73</v>
      </c>
      <c r="K147" s="17" t="str">
        <f t="shared" si="11"/>
        <v>PASS</v>
      </c>
      <c r="L147" s="21" t="str">
        <f t="shared" si="12"/>
        <v>Sumit Patel</v>
      </c>
      <c r="M147" s="17" t="str">
        <f t="shared" si="13"/>
        <v>UNIQUE</v>
      </c>
    </row>
    <row r="148" spans="1:13" x14ac:dyDescent="0.3">
      <c r="A148" s="2" t="s">
        <v>435</v>
      </c>
      <c r="B148" s="1" t="s">
        <v>436</v>
      </c>
      <c r="C148" s="1" t="s">
        <v>7</v>
      </c>
      <c r="D148" s="1" t="s">
        <v>12</v>
      </c>
      <c r="E148" s="1">
        <v>3</v>
      </c>
      <c r="F148" s="1" t="s">
        <v>437</v>
      </c>
      <c r="G148" s="1">
        <v>88</v>
      </c>
      <c r="H148" s="1">
        <v>22</v>
      </c>
      <c r="I148" s="1">
        <v>62</v>
      </c>
      <c r="J148" s="3">
        <v>84</v>
      </c>
      <c r="K148" s="17" t="str">
        <f t="shared" si="11"/>
        <v>PASS</v>
      </c>
      <c r="L148" s="21" t="str">
        <f t="shared" si="12"/>
        <v>Priya Soni</v>
      </c>
      <c r="M148" s="17" t="str">
        <f t="shared" si="13"/>
        <v>UNIQUE</v>
      </c>
    </row>
    <row r="149" spans="1:13" x14ac:dyDescent="0.3">
      <c r="A149" s="2" t="s">
        <v>438</v>
      </c>
      <c r="B149" s="1" t="s">
        <v>439</v>
      </c>
      <c r="C149" s="1" t="s">
        <v>2</v>
      </c>
      <c r="D149" s="1" t="s">
        <v>19</v>
      </c>
      <c r="E149" s="1">
        <v>4</v>
      </c>
      <c r="F149" s="1" t="s">
        <v>440</v>
      </c>
      <c r="G149" s="1">
        <v>66</v>
      </c>
      <c r="H149" s="1">
        <v>15</v>
      </c>
      <c r="I149" s="1">
        <v>44</v>
      </c>
      <c r="J149" s="3">
        <v>59</v>
      </c>
      <c r="K149" s="17" t="str">
        <f t="shared" si="11"/>
        <v>FAIL</v>
      </c>
      <c r="L149" s="21" t="str">
        <f t="shared" si="12"/>
        <v>Ram Kumar</v>
      </c>
      <c r="M149" s="17" t="str">
        <f t="shared" si="13"/>
        <v>UNIQUE</v>
      </c>
    </row>
    <row r="150" spans="1:13" x14ac:dyDescent="0.3">
      <c r="A150" s="2" t="s">
        <v>441</v>
      </c>
      <c r="B150" s="1" t="s">
        <v>442</v>
      </c>
      <c r="C150" s="1" t="s">
        <v>7</v>
      </c>
      <c r="D150" s="1" t="s">
        <v>8</v>
      </c>
      <c r="E150" s="1">
        <v>5</v>
      </c>
      <c r="F150" s="1" t="s">
        <v>443</v>
      </c>
      <c r="G150" s="1">
        <v>92</v>
      </c>
      <c r="H150" s="1">
        <v>24</v>
      </c>
      <c r="I150" s="1">
        <v>67</v>
      </c>
      <c r="J150" s="3">
        <v>91</v>
      </c>
      <c r="K150" s="17" t="str">
        <f t="shared" si="11"/>
        <v>PASS</v>
      </c>
      <c r="L150" s="21" t="str">
        <f t="shared" si="12"/>
        <v>Nisha Agarwal</v>
      </c>
      <c r="M150" s="17" t="str">
        <f t="shared" si="13"/>
        <v>UNIQUE</v>
      </c>
    </row>
    <row r="151" spans="1:13" x14ac:dyDescent="0.3">
      <c r="A151" s="2" t="s">
        <v>444</v>
      </c>
      <c r="B151" s="1" t="s">
        <v>445</v>
      </c>
      <c r="C151" s="1" t="s">
        <v>2</v>
      </c>
      <c r="D151" s="1" t="s">
        <v>3</v>
      </c>
      <c r="E151" s="1">
        <v>6</v>
      </c>
      <c r="F151" s="1" t="s">
        <v>446</v>
      </c>
      <c r="G151" s="1">
        <v>73</v>
      </c>
      <c r="H151" s="1">
        <v>18</v>
      </c>
      <c r="I151" s="1">
        <v>51</v>
      </c>
      <c r="J151" s="3">
        <v>69</v>
      </c>
      <c r="K151" s="17" t="str">
        <f t="shared" si="11"/>
        <v>PASS</v>
      </c>
      <c r="L151" s="21" t="str">
        <f t="shared" si="12"/>
        <v>Vikas Chauhan</v>
      </c>
      <c r="M151" s="17" t="str">
        <f t="shared" si="13"/>
        <v>UNIQUE</v>
      </c>
    </row>
    <row r="152" spans="1:13" x14ac:dyDescent="0.3">
      <c r="A152" s="7" t="s">
        <v>447</v>
      </c>
      <c r="B152" s="8" t="s">
        <v>448</v>
      </c>
      <c r="C152" s="8" t="s">
        <v>7</v>
      </c>
      <c r="D152" s="8" t="s">
        <v>12</v>
      </c>
      <c r="E152" s="8">
        <v>1</v>
      </c>
      <c r="F152" s="8" t="s">
        <v>449</v>
      </c>
      <c r="G152" s="8">
        <v>84</v>
      </c>
      <c r="H152" s="8">
        <v>21</v>
      </c>
      <c r="I152" s="8">
        <v>59</v>
      </c>
      <c r="J152" s="9">
        <v>80</v>
      </c>
      <c r="K152" s="17" t="str">
        <f t="shared" si="11"/>
        <v>PASS</v>
      </c>
      <c r="L152" s="21" t="str">
        <f t="shared" si="12"/>
        <v>Anju Sharma</v>
      </c>
      <c r="M152" s="17" t="str">
        <f t="shared" si="13"/>
        <v>UNIQUE</v>
      </c>
    </row>
    <row r="153" spans="1:13" x14ac:dyDescent="0.3">
      <c r="A153" s="7"/>
      <c r="B153" s="8"/>
      <c r="C153" s="8"/>
      <c r="D153" s="8"/>
      <c r="E153" s="8"/>
      <c r="F153" s="8"/>
      <c r="G153" s="8"/>
      <c r="H153" s="8"/>
      <c r="I153" s="8"/>
      <c r="J153" s="9"/>
      <c r="M153"/>
    </row>
    <row r="154" spans="1:13" x14ac:dyDescent="0.3">
      <c r="M154"/>
    </row>
    <row r="155" spans="1:13" x14ac:dyDescent="0.3">
      <c r="M155"/>
    </row>
    <row r="156" spans="1:13" x14ac:dyDescent="0.3">
      <c r="M156"/>
    </row>
    <row r="157" spans="1:13" x14ac:dyDescent="0.3">
      <c r="M157"/>
    </row>
    <row r="158" spans="1:13" x14ac:dyDescent="0.3">
      <c r="M158"/>
    </row>
    <row r="159" spans="1:13" x14ac:dyDescent="0.3">
      <c r="M159"/>
    </row>
    <row r="160" spans="1:13" x14ac:dyDescent="0.3">
      <c r="M160"/>
    </row>
    <row r="161" spans="13:13" x14ac:dyDescent="0.3">
      <c r="M161"/>
    </row>
    <row r="162" spans="13:13" x14ac:dyDescent="0.3">
      <c r="M162"/>
    </row>
    <row r="163" spans="13:13" x14ac:dyDescent="0.3">
      <c r="M163"/>
    </row>
    <row r="164" spans="13:13" x14ac:dyDescent="0.3">
      <c r="M164"/>
    </row>
    <row r="165" spans="13:13" x14ac:dyDescent="0.3">
      <c r="M165"/>
    </row>
    <row r="166" spans="13:13" x14ac:dyDescent="0.3">
      <c r="M166"/>
    </row>
    <row r="167" spans="13:13" x14ac:dyDescent="0.3">
      <c r="M167"/>
    </row>
    <row r="168" spans="13:13" x14ac:dyDescent="0.3">
      <c r="M168"/>
    </row>
    <row r="169" spans="13:13" x14ac:dyDescent="0.3">
      <c r="M169"/>
    </row>
    <row r="170" spans="13:13" x14ac:dyDescent="0.3">
      <c r="M170"/>
    </row>
    <row r="171" spans="13:13" x14ac:dyDescent="0.3">
      <c r="M171"/>
    </row>
    <row r="172" spans="13:13" x14ac:dyDescent="0.3">
      <c r="M172"/>
    </row>
    <row r="173" spans="13:13" x14ac:dyDescent="0.3">
      <c r="M173"/>
    </row>
    <row r="174" spans="13:13" x14ac:dyDescent="0.3">
      <c r="M174"/>
    </row>
    <row r="175" spans="13:13" x14ac:dyDescent="0.3">
      <c r="M175"/>
    </row>
    <row r="176" spans="13:13" x14ac:dyDescent="0.3">
      <c r="M176"/>
    </row>
    <row r="177" spans="13:13" x14ac:dyDescent="0.3">
      <c r="M177"/>
    </row>
    <row r="178" spans="13:13" x14ac:dyDescent="0.3">
      <c r="M178"/>
    </row>
    <row r="179" spans="13:13" x14ac:dyDescent="0.3">
      <c r="M179"/>
    </row>
    <row r="180" spans="13:13" x14ac:dyDescent="0.3">
      <c r="M180"/>
    </row>
    <row r="181" spans="13:13" x14ac:dyDescent="0.3">
      <c r="M181"/>
    </row>
    <row r="182" spans="13:13" x14ac:dyDescent="0.3">
      <c r="M182"/>
    </row>
    <row r="183" spans="13:13" x14ac:dyDescent="0.3">
      <c r="M183"/>
    </row>
    <row r="184" spans="13:13" x14ac:dyDescent="0.3">
      <c r="M184"/>
    </row>
    <row r="185" spans="13:13" x14ac:dyDescent="0.3">
      <c r="M185"/>
    </row>
    <row r="186" spans="13:13" x14ac:dyDescent="0.3">
      <c r="M186"/>
    </row>
    <row r="187" spans="13:13" x14ac:dyDescent="0.3">
      <c r="M187"/>
    </row>
    <row r="188" spans="13:13" x14ac:dyDescent="0.3">
      <c r="M188"/>
    </row>
    <row r="189" spans="13:13" x14ac:dyDescent="0.3">
      <c r="M189"/>
    </row>
    <row r="190" spans="13:13" x14ac:dyDescent="0.3">
      <c r="M190"/>
    </row>
    <row r="191" spans="13:13" x14ac:dyDescent="0.3">
      <c r="M191"/>
    </row>
    <row r="192" spans="13:13" x14ac:dyDescent="0.3">
      <c r="M192"/>
    </row>
    <row r="193" spans="13:13" x14ac:dyDescent="0.3">
      <c r="M193"/>
    </row>
    <row r="194" spans="13:13" x14ac:dyDescent="0.3">
      <c r="M194"/>
    </row>
    <row r="195" spans="13:13" x14ac:dyDescent="0.3">
      <c r="M195"/>
    </row>
    <row r="196" spans="13:13" x14ac:dyDescent="0.3">
      <c r="M196"/>
    </row>
    <row r="197" spans="13:13" x14ac:dyDescent="0.3">
      <c r="M197"/>
    </row>
    <row r="198" spans="13:13" x14ac:dyDescent="0.3">
      <c r="M198"/>
    </row>
    <row r="199" spans="13:13" x14ac:dyDescent="0.3">
      <c r="M199"/>
    </row>
    <row r="200" spans="13:13" x14ac:dyDescent="0.3">
      <c r="M200"/>
    </row>
    <row r="201" spans="13:13" x14ac:dyDescent="0.3">
      <c r="M201"/>
    </row>
    <row r="202" spans="13:13" x14ac:dyDescent="0.3">
      <c r="M202"/>
    </row>
    <row r="203" spans="13:13" x14ac:dyDescent="0.3">
      <c r="M203"/>
    </row>
    <row r="204" spans="13:13" x14ac:dyDescent="0.3">
      <c r="M204"/>
    </row>
    <row r="205" spans="13:13" x14ac:dyDescent="0.3">
      <c r="M205"/>
    </row>
    <row r="206" spans="13:13" x14ac:dyDescent="0.3">
      <c r="M206"/>
    </row>
    <row r="207" spans="13:13" x14ac:dyDescent="0.3">
      <c r="M207"/>
    </row>
    <row r="208" spans="13:13" x14ac:dyDescent="0.3">
      <c r="M208"/>
    </row>
    <row r="209" spans="13:13" x14ac:dyDescent="0.3">
      <c r="M209"/>
    </row>
    <row r="210" spans="13:13" x14ac:dyDescent="0.3">
      <c r="M210"/>
    </row>
    <row r="211" spans="13:13" x14ac:dyDescent="0.3">
      <c r="M211"/>
    </row>
    <row r="212" spans="13:13" x14ac:dyDescent="0.3">
      <c r="M212"/>
    </row>
    <row r="213" spans="13:13" x14ac:dyDescent="0.3">
      <c r="M213"/>
    </row>
    <row r="214" spans="13:13" x14ac:dyDescent="0.3">
      <c r="M214"/>
    </row>
    <row r="215" spans="13:13" x14ac:dyDescent="0.3">
      <c r="M215"/>
    </row>
    <row r="216" spans="13:13" x14ac:dyDescent="0.3">
      <c r="M216"/>
    </row>
    <row r="217" spans="13:13" x14ac:dyDescent="0.3">
      <c r="M217"/>
    </row>
    <row r="218" spans="13:13" x14ac:dyDescent="0.3">
      <c r="M218"/>
    </row>
    <row r="219" spans="13:13" x14ac:dyDescent="0.3">
      <c r="M219"/>
    </row>
    <row r="220" spans="13:13" x14ac:dyDescent="0.3">
      <c r="M220"/>
    </row>
    <row r="221" spans="13:13" x14ac:dyDescent="0.3">
      <c r="M221"/>
    </row>
    <row r="222" spans="13:13" x14ac:dyDescent="0.3">
      <c r="M222"/>
    </row>
    <row r="223" spans="13:13" x14ac:dyDescent="0.3">
      <c r="M223"/>
    </row>
    <row r="224" spans="13:13" x14ac:dyDescent="0.3">
      <c r="M224"/>
    </row>
    <row r="225" spans="13:13" x14ac:dyDescent="0.3">
      <c r="M225"/>
    </row>
    <row r="226" spans="13:13" x14ac:dyDescent="0.3">
      <c r="M226"/>
    </row>
    <row r="227" spans="13:13" x14ac:dyDescent="0.3">
      <c r="M227"/>
    </row>
    <row r="228" spans="13:13" x14ac:dyDescent="0.3">
      <c r="M228"/>
    </row>
    <row r="229" spans="13:13" x14ac:dyDescent="0.3">
      <c r="M229"/>
    </row>
    <row r="230" spans="13:13" x14ac:dyDescent="0.3">
      <c r="M230"/>
    </row>
    <row r="231" spans="13:13" x14ac:dyDescent="0.3">
      <c r="M231"/>
    </row>
    <row r="232" spans="13:13" x14ac:dyDescent="0.3">
      <c r="M232"/>
    </row>
    <row r="233" spans="13:13" x14ac:dyDescent="0.3">
      <c r="M233"/>
    </row>
    <row r="234" spans="13:13" x14ac:dyDescent="0.3">
      <c r="M234"/>
    </row>
    <row r="235" spans="13:13" x14ac:dyDescent="0.3">
      <c r="M235"/>
    </row>
    <row r="236" spans="13:13" x14ac:dyDescent="0.3">
      <c r="M236"/>
    </row>
    <row r="237" spans="13:13" x14ac:dyDescent="0.3">
      <c r="M237"/>
    </row>
    <row r="238" spans="13:13" x14ac:dyDescent="0.3">
      <c r="M238"/>
    </row>
    <row r="239" spans="13:13" x14ac:dyDescent="0.3">
      <c r="M239"/>
    </row>
    <row r="240" spans="13:13" x14ac:dyDescent="0.3">
      <c r="M240"/>
    </row>
    <row r="241" spans="13:13" x14ac:dyDescent="0.3">
      <c r="M241"/>
    </row>
    <row r="242" spans="13:13" x14ac:dyDescent="0.3">
      <c r="M242"/>
    </row>
    <row r="243" spans="13:13" x14ac:dyDescent="0.3">
      <c r="M243"/>
    </row>
    <row r="244" spans="13:13" x14ac:dyDescent="0.3">
      <c r="M244"/>
    </row>
    <row r="245" spans="13:13" x14ac:dyDescent="0.3">
      <c r="M245"/>
    </row>
    <row r="246" spans="13:13" x14ac:dyDescent="0.3">
      <c r="M246"/>
    </row>
    <row r="247" spans="13:13" x14ac:dyDescent="0.3">
      <c r="M247"/>
    </row>
    <row r="248" spans="13:13" x14ac:dyDescent="0.3">
      <c r="M248"/>
    </row>
    <row r="249" spans="13:13" x14ac:dyDescent="0.3">
      <c r="M249"/>
    </row>
    <row r="250" spans="13:13" x14ac:dyDescent="0.3">
      <c r="M250"/>
    </row>
    <row r="251" spans="13:13" x14ac:dyDescent="0.3">
      <c r="M251"/>
    </row>
    <row r="252" spans="13:13" x14ac:dyDescent="0.3">
      <c r="M252"/>
    </row>
    <row r="253" spans="13:13" x14ac:dyDescent="0.3">
      <c r="M253"/>
    </row>
    <row r="254" spans="13:13" x14ac:dyDescent="0.3">
      <c r="M254"/>
    </row>
    <row r="255" spans="13:13" x14ac:dyDescent="0.3">
      <c r="M255"/>
    </row>
    <row r="256" spans="13:13" x14ac:dyDescent="0.3">
      <c r="M256"/>
    </row>
    <row r="257" spans="13:13" x14ac:dyDescent="0.3">
      <c r="M257"/>
    </row>
    <row r="258" spans="13:13" x14ac:dyDescent="0.3">
      <c r="M258"/>
    </row>
    <row r="259" spans="13:13" x14ac:dyDescent="0.3">
      <c r="M259"/>
    </row>
    <row r="260" spans="13:13" x14ac:dyDescent="0.3">
      <c r="M260"/>
    </row>
    <row r="261" spans="13:13" x14ac:dyDescent="0.3">
      <c r="M261"/>
    </row>
    <row r="262" spans="13:13" x14ac:dyDescent="0.3">
      <c r="M262"/>
    </row>
    <row r="263" spans="13:13" x14ac:dyDescent="0.3">
      <c r="M263"/>
    </row>
    <row r="264" spans="13:13" x14ac:dyDescent="0.3">
      <c r="M264"/>
    </row>
    <row r="265" spans="13:13" x14ac:dyDescent="0.3">
      <c r="M265"/>
    </row>
    <row r="266" spans="13:13" x14ac:dyDescent="0.3">
      <c r="M266"/>
    </row>
    <row r="267" spans="13:13" x14ac:dyDescent="0.3">
      <c r="M267"/>
    </row>
    <row r="268" spans="13:13" x14ac:dyDescent="0.3">
      <c r="M268"/>
    </row>
    <row r="269" spans="13:13" x14ac:dyDescent="0.3">
      <c r="M269"/>
    </row>
    <row r="270" spans="13:13" x14ac:dyDescent="0.3">
      <c r="M270"/>
    </row>
    <row r="271" spans="13:13" x14ac:dyDescent="0.3">
      <c r="M271"/>
    </row>
    <row r="272" spans="13:13" x14ac:dyDescent="0.3">
      <c r="M272"/>
    </row>
    <row r="273" spans="13:13" x14ac:dyDescent="0.3">
      <c r="M273"/>
    </row>
    <row r="274" spans="13:13" x14ac:dyDescent="0.3">
      <c r="M274"/>
    </row>
    <row r="275" spans="13:13" x14ac:dyDescent="0.3">
      <c r="M275"/>
    </row>
    <row r="276" spans="13:13" x14ac:dyDescent="0.3">
      <c r="M276"/>
    </row>
    <row r="277" spans="13:13" x14ac:dyDescent="0.3">
      <c r="M277"/>
    </row>
    <row r="278" spans="13:13" x14ac:dyDescent="0.3">
      <c r="M278"/>
    </row>
    <row r="279" spans="13:13" x14ac:dyDescent="0.3">
      <c r="M279"/>
    </row>
    <row r="280" spans="13:13" x14ac:dyDescent="0.3">
      <c r="M280"/>
    </row>
    <row r="281" spans="13:13" x14ac:dyDescent="0.3">
      <c r="M281"/>
    </row>
    <row r="282" spans="13:13" x14ac:dyDescent="0.3">
      <c r="M282"/>
    </row>
    <row r="283" spans="13:13" x14ac:dyDescent="0.3">
      <c r="M283"/>
    </row>
    <row r="284" spans="13:13" x14ac:dyDescent="0.3">
      <c r="M284"/>
    </row>
    <row r="285" spans="13:13" x14ac:dyDescent="0.3">
      <c r="M285"/>
    </row>
    <row r="286" spans="13:13" x14ac:dyDescent="0.3">
      <c r="M286"/>
    </row>
    <row r="287" spans="13:13" x14ac:dyDescent="0.3">
      <c r="M287"/>
    </row>
    <row r="288" spans="13:13" x14ac:dyDescent="0.3">
      <c r="M288"/>
    </row>
    <row r="289" spans="13:13" x14ac:dyDescent="0.3">
      <c r="M289"/>
    </row>
    <row r="290" spans="13:13" x14ac:dyDescent="0.3">
      <c r="M290"/>
    </row>
    <row r="291" spans="13:13" x14ac:dyDescent="0.3">
      <c r="M291"/>
    </row>
    <row r="292" spans="13:13" x14ac:dyDescent="0.3">
      <c r="M292"/>
    </row>
    <row r="293" spans="13:13" x14ac:dyDescent="0.3">
      <c r="M293"/>
    </row>
    <row r="294" spans="13:13" x14ac:dyDescent="0.3">
      <c r="M294"/>
    </row>
    <row r="295" spans="13:13" x14ac:dyDescent="0.3">
      <c r="M295"/>
    </row>
    <row r="296" spans="13:13" x14ac:dyDescent="0.3">
      <c r="M296"/>
    </row>
    <row r="297" spans="13:13" x14ac:dyDescent="0.3">
      <c r="M297"/>
    </row>
    <row r="298" spans="13:13" x14ac:dyDescent="0.3">
      <c r="M298"/>
    </row>
    <row r="299" spans="13:13" x14ac:dyDescent="0.3">
      <c r="M299"/>
    </row>
    <row r="300" spans="13:13" x14ac:dyDescent="0.3">
      <c r="M300"/>
    </row>
    <row r="301" spans="13:13" x14ac:dyDescent="0.3">
      <c r="M301"/>
    </row>
    <row r="302" spans="13:13" x14ac:dyDescent="0.3">
      <c r="M302"/>
    </row>
    <row r="303" spans="13:13" x14ac:dyDescent="0.3">
      <c r="M303"/>
    </row>
    <row r="304" spans="13:13" x14ac:dyDescent="0.3">
      <c r="M304"/>
    </row>
    <row r="305" spans="13:13" x14ac:dyDescent="0.3">
      <c r="M305"/>
    </row>
    <row r="306" spans="13:13" x14ac:dyDescent="0.3">
      <c r="M306"/>
    </row>
    <row r="307" spans="13:13" x14ac:dyDescent="0.3">
      <c r="M307"/>
    </row>
    <row r="308" spans="13:13" x14ac:dyDescent="0.3">
      <c r="M308"/>
    </row>
    <row r="309" spans="13:13" x14ac:dyDescent="0.3">
      <c r="M309"/>
    </row>
    <row r="310" spans="13:13" x14ac:dyDescent="0.3">
      <c r="M310"/>
    </row>
    <row r="311" spans="13:13" x14ac:dyDescent="0.3">
      <c r="M311"/>
    </row>
    <row r="312" spans="13:13" x14ac:dyDescent="0.3">
      <c r="M312"/>
    </row>
    <row r="313" spans="13:13" x14ac:dyDescent="0.3">
      <c r="M313"/>
    </row>
    <row r="314" spans="13:13" x14ac:dyDescent="0.3">
      <c r="M314"/>
    </row>
    <row r="315" spans="13:13" x14ac:dyDescent="0.3">
      <c r="M315"/>
    </row>
    <row r="316" spans="13:13" x14ac:dyDescent="0.3">
      <c r="M316"/>
    </row>
    <row r="317" spans="13:13" x14ac:dyDescent="0.3">
      <c r="M317"/>
    </row>
    <row r="318" spans="13:13" x14ac:dyDescent="0.3">
      <c r="M318"/>
    </row>
    <row r="319" spans="13:13" x14ac:dyDescent="0.3">
      <c r="M319"/>
    </row>
    <row r="320" spans="13:13" x14ac:dyDescent="0.3">
      <c r="M320"/>
    </row>
    <row r="321" spans="13:13" x14ac:dyDescent="0.3">
      <c r="M321"/>
    </row>
    <row r="322" spans="13:13" x14ac:dyDescent="0.3">
      <c r="M322"/>
    </row>
    <row r="323" spans="13:13" x14ac:dyDescent="0.3">
      <c r="M323"/>
    </row>
    <row r="324" spans="13:13" x14ac:dyDescent="0.3">
      <c r="M324"/>
    </row>
    <row r="325" spans="13:13" x14ac:dyDescent="0.3">
      <c r="M325"/>
    </row>
    <row r="326" spans="13:13" x14ac:dyDescent="0.3">
      <c r="M326"/>
    </row>
    <row r="327" spans="13:13" x14ac:dyDescent="0.3">
      <c r="M327"/>
    </row>
    <row r="328" spans="13:13" x14ac:dyDescent="0.3">
      <c r="M328"/>
    </row>
    <row r="329" spans="13:13" x14ac:dyDescent="0.3">
      <c r="M329"/>
    </row>
    <row r="330" spans="13:13" x14ac:dyDescent="0.3">
      <c r="M330"/>
    </row>
    <row r="331" spans="13:13" x14ac:dyDescent="0.3">
      <c r="M331"/>
    </row>
    <row r="332" spans="13:13" x14ac:dyDescent="0.3">
      <c r="M332"/>
    </row>
    <row r="333" spans="13:13" x14ac:dyDescent="0.3">
      <c r="M333"/>
    </row>
    <row r="334" spans="13:13" x14ac:dyDescent="0.3">
      <c r="M334"/>
    </row>
    <row r="335" spans="13:13" x14ac:dyDescent="0.3">
      <c r="M335"/>
    </row>
    <row r="336" spans="13:13" x14ac:dyDescent="0.3">
      <c r="M336"/>
    </row>
    <row r="337" spans="13:13" x14ac:dyDescent="0.3">
      <c r="M337"/>
    </row>
    <row r="338" spans="13:13" x14ac:dyDescent="0.3">
      <c r="M338"/>
    </row>
    <row r="339" spans="13:13" x14ac:dyDescent="0.3">
      <c r="M339"/>
    </row>
    <row r="340" spans="13:13" x14ac:dyDescent="0.3">
      <c r="M340"/>
    </row>
    <row r="341" spans="13:13" x14ac:dyDescent="0.3">
      <c r="M341"/>
    </row>
    <row r="342" spans="13:13" x14ac:dyDescent="0.3">
      <c r="M342"/>
    </row>
    <row r="343" spans="13:13" x14ac:dyDescent="0.3">
      <c r="M343"/>
    </row>
    <row r="344" spans="13:13" x14ac:dyDescent="0.3">
      <c r="M344"/>
    </row>
    <row r="345" spans="13:13" x14ac:dyDescent="0.3">
      <c r="M345"/>
    </row>
    <row r="346" spans="13:13" x14ac:dyDescent="0.3">
      <c r="M346"/>
    </row>
    <row r="347" spans="13:13" x14ac:dyDescent="0.3">
      <c r="M347"/>
    </row>
    <row r="348" spans="13:13" x14ac:dyDescent="0.3">
      <c r="M348"/>
    </row>
    <row r="349" spans="13:13" x14ac:dyDescent="0.3">
      <c r="M349"/>
    </row>
    <row r="350" spans="13:13" x14ac:dyDescent="0.3">
      <c r="M350"/>
    </row>
    <row r="351" spans="13:13" x14ac:dyDescent="0.3">
      <c r="M351"/>
    </row>
    <row r="352" spans="13:13" x14ac:dyDescent="0.3">
      <c r="M352"/>
    </row>
    <row r="353" spans="13:13" x14ac:dyDescent="0.3">
      <c r="M353"/>
    </row>
    <row r="354" spans="13:13" x14ac:dyDescent="0.3">
      <c r="M354"/>
    </row>
    <row r="355" spans="13:13" x14ac:dyDescent="0.3">
      <c r="M355"/>
    </row>
    <row r="356" spans="13:13" x14ac:dyDescent="0.3">
      <c r="M356"/>
    </row>
    <row r="357" spans="13:13" x14ac:dyDescent="0.3">
      <c r="M357"/>
    </row>
    <row r="358" spans="13:13" x14ac:dyDescent="0.3">
      <c r="M358"/>
    </row>
  </sheetData>
  <conditionalFormatting sqref="S2:S9">
    <cfRule type="iconSet" priority="1">
      <iconSet>
        <cfvo type="percent" val="0"/>
        <cfvo type="percent" val="33"/>
        <cfvo type="percent" val="67"/>
      </iconSet>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B7"/>
    </sheetView>
  </sheetViews>
  <sheetFormatPr defaultRowHeight="14.4" x14ac:dyDescent="0.3"/>
  <cols>
    <col min="1" max="1" width="12.5546875" bestFit="1" customWidth="1"/>
    <col min="2" max="2" width="20.33203125" bestFit="1" customWidth="1"/>
  </cols>
  <sheetData>
    <row r="3" spans="1:2" x14ac:dyDescent="0.3">
      <c r="A3" s="27" t="s">
        <v>461</v>
      </c>
      <c r="B3" t="s">
        <v>463</v>
      </c>
    </row>
    <row r="4" spans="1:2" x14ac:dyDescent="0.3">
      <c r="A4" s="28" t="s">
        <v>19</v>
      </c>
      <c r="B4" s="29">
        <v>177</v>
      </c>
    </row>
    <row r="5" spans="1:2" x14ac:dyDescent="0.3">
      <c r="A5" s="28" t="s">
        <v>3</v>
      </c>
      <c r="B5" s="29">
        <v>57</v>
      </c>
    </row>
    <row r="6" spans="1:2" x14ac:dyDescent="0.3">
      <c r="A6" s="28" t="s">
        <v>12</v>
      </c>
      <c r="B6" s="29">
        <v>118</v>
      </c>
    </row>
    <row r="7" spans="1:2" x14ac:dyDescent="0.3">
      <c r="A7" s="28" t="s">
        <v>462</v>
      </c>
      <c r="B7" s="29">
        <v>352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D28" sqref="D28"/>
    </sheetView>
  </sheetViews>
  <sheetFormatPr defaultRowHeight="14.4" x14ac:dyDescent="0.3"/>
  <cols>
    <col min="1" max="1" width="12.5546875" customWidth="1"/>
    <col min="2" max="2" width="20.33203125" customWidth="1"/>
    <col min="3" max="3" width="11.33203125" bestFit="1" customWidth="1"/>
    <col min="4" max="4" width="5.77734375" customWidth="1"/>
    <col min="5" max="5" width="8.109375" customWidth="1"/>
    <col min="6" max="6" width="6.5546875" customWidth="1"/>
    <col min="7" max="7" width="10.77734375" bestFit="1" customWidth="1"/>
    <col min="8" max="8" width="3.88671875" customWidth="1"/>
    <col min="9" max="9" width="5.6640625" customWidth="1"/>
    <col min="10" max="10" width="7.44140625" customWidth="1"/>
    <col min="11" max="11" width="11.33203125" bestFit="1" customWidth="1"/>
    <col min="12" max="12" width="9.44140625" bestFit="1" customWidth="1"/>
    <col min="13" max="13" width="8.33203125" customWidth="1"/>
    <col min="14" max="14" width="5.44140625" customWidth="1"/>
    <col min="15" max="15" width="9.44140625" bestFit="1" customWidth="1"/>
    <col min="16" max="16" width="9.109375" bestFit="1" customWidth="1"/>
    <col min="17" max="17" width="5.88671875" customWidth="1"/>
    <col min="18" max="18" width="6.88671875" customWidth="1"/>
    <col min="19" max="19" width="7.109375" customWidth="1"/>
    <col min="20" max="20" width="5" customWidth="1"/>
    <col min="21" max="21" width="8.5546875" customWidth="1"/>
    <col min="22" max="23" width="8" customWidth="1"/>
    <col min="24" max="24" width="10" bestFit="1" customWidth="1"/>
    <col min="25" max="25" width="8.21875" customWidth="1"/>
    <col min="26" max="26" width="7.6640625" customWidth="1"/>
    <col min="27" max="27" width="6.88671875" customWidth="1"/>
    <col min="28" max="28" width="6" customWidth="1"/>
    <col min="29" max="29" width="5.77734375" customWidth="1"/>
    <col min="30" max="30" width="6.6640625" customWidth="1"/>
    <col min="31" max="31" width="9.44140625" bestFit="1" customWidth="1"/>
    <col min="32" max="32" width="10.6640625" bestFit="1" customWidth="1"/>
    <col min="33" max="33" width="7.88671875" customWidth="1"/>
    <col min="34" max="34" width="8.109375" customWidth="1"/>
    <col min="35" max="35" width="9.88671875" bestFit="1" customWidth="1"/>
    <col min="36" max="36" width="10.5546875" bestFit="1" customWidth="1"/>
    <col min="37" max="37" width="6.109375" customWidth="1"/>
    <col min="38" max="38" width="7" customWidth="1"/>
    <col min="39" max="39" width="6.5546875" customWidth="1"/>
    <col min="40" max="40" width="9.33203125" bestFit="1" customWidth="1"/>
    <col min="41" max="41" width="5.21875" customWidth="1"/>
    <col min="42" max="42" width="6.44140625" customWidth="1"/>
    <col min="43" max="43" width="8.6640625" customWidth="1"/>
    <col min="45" max="45" width="4.77734375" customWidth="1"/>
    <col min="46" max="46" width="7.21875" customWidth="1"/>
    <col min="47" max="47" width="8.33203125" customWidth="1"/>
    <col min="48" max="48" width="9.33203125" bestFit="1" customWidth="1"/>
    <col min="49" max="49" width="8.5546875" customWidth="1"/>
    <col min="50" max="50" width="9.109375" bestFit="1" customWidth="1"/>
    <col min="51" max="51" width="8.44140625" customWidth="1"/>
    <col min="52" max="52" width="7.21875" customWidth="1"/>
    <col min="53" max="53" width="9.5546875" bestFit="1" customWidth="1"/>
    <col min="54" max="54" width="8.21875" customWidth="1"/>
    <col min="55" max="55" width="7.33203125" customWidth="1"/>
    <col min="57" max="57" width="6.5546875" customWidth="1"/>
    <col min="58" max="58" width="5.109375" customWidth="1"/>
    <col min="59" max="59" width="7.5546875" customWidth="1"/>
    <col min="60" max="60" width="6.5546875" customWidth="1"/>
    <col min="61" max="61" width="6" customWidth="1"/>
    <col min="62" max="62" width="7.77734375" customWidth="1"/>
    <col min="63" max="63" width="8.33203125" customWidth="1"/>
    <col min="64" max="64" width="10" bestFit="1" customWidth="1"/>
    <col min="65" max="65" width="7.88671875" customWidth="1"/>
    <col min="66" max="66" width="4.6640625" customWidth="1"/>
    <col min="67" max="67" width="5.109375" customWidth="1"/>
    <col min="68" max="68" width="7.109375" customWidth="1"/>
    <col min="69" max="69" width="5.6640625" customWidth="1"/>
    <col min="70" max="70" width="8.6640625" customWidth="1"/>
    <col min="71" max="71" width="7.33203125" customWidth="1"/>
    <col min="72" max="72" width="4.88671875" customWidth="1"/>
    <col min="73" max="73" width="8.5546875" customWidth="1"/>
    <col min="74" max="74" width="8.77734375" customWidth="1"/>
    <col min="75" max="75" width="9.6640625" bestFit="1" customWidth="1"/>
    <col min="76" max="76" width="10.77734375" bestFit="1" customWidth="1"/>
    <col min="77" max="77" width="8.6640625" customWidth="1"/>
    <col min="78" max="78" width="6.44140625" customWidth="1"/>
    <col min="79" max="79" width="9.5546875" bestFit="1" customWidth="1"/>
    <col min="80" max="80" width="8.33203125" customWidth="1"/>
    <col min="81" max="81" width="4.88671875" customWidth="1"/>
    <col min="82" max="82" width="7.21875" customWidth="1"/>
    <col min="83" max="83" width="8.77734375" customWidth="1"/>
    <col min="84" max="84" width="6.109375" customWidth="1"/>
    <col min="85" max="85" width="8.5546875" customWidth="1"/>
    <col min="86" max="86" width="7.77734375" customWidth="1"/>
    <col min="87" max="87" width="8.21875" customWidth="1"/>
    <col min="88" max="88" width="8.109375" customWidth="1"/>
    <col min="89" max="89" width="7" customWidth="1"/>
    <col min="90" max="90" width="7.109375" customWidth="1"/>
    <col min="91" max="91" width="7.21875" customWidth="1"/>
    <col min="92" max="92" width="6.6640625" customWidth="1"/>
    <col min="93" max="93" width="7.21875" customWidth="1"/>
    <col min="94" max="94" width="9.109375" bestFit="1" customWidth="1"/>
    <col min="95" max="95" width="6" customWidth="1"/>
    <col min="96" max="96" width="4.44140625" customWidth="1"/>
    <col min="97" max="97" width="8.5546875" customWidth="1"/>
    <col min="98" max="98" width="7.44140625" customWidth="1"/>
    <col min="99" max="100" width="5.88671875" customWidth="1"/>
    <col min="101" max="101" width="9" bestFit="1" customWidth="1"/>
    <col min="102" max="102" width="5.33203125" customWidth="1"/>
    <col min="103" max="104" width="6.44140625" customWidth="1"/>
    <col min="105" max="105" width="7.6640625" customWidth="1"/>
    <col min="106" max="106" width="6.88671875" customWidth="1"/>
    <col min="107" max="107" width="5.33203125" customWidth="1"/>
    <col min="108" max="108" width="5.5546875" customWidth="1"/>
    <col min="109" max="109" width="6.6640625" customWidth="1"/>
    <col min="110" max="110" width="8.77734375" customWidth="1"/>
    <col min="111" max="111" width="7.5546875" customWidth="1"/>
    <col min="112" max="112" width="10.44140625" bestFit="1" customWidth="1"/>
    <col min="113" max="113" width="6.33203125" customWidth="1"/>
    <col min="114" max="114" width="5.77734375" customWidth="1"/>
    <col min="115" max="115" width="15.44140625" bestFit="1" customWidth="1"/>
    <col min="116" max="116" width="6.88671875" customWidth="1"/>
    <col min="117" max="117" width="7.88671875" customWidth="1"/>
    <col min="118" max="119" width="5.109375" customWidth="1"/>
    <col min="120" max="120" width="6.5546875" customWidth="1"/>
    <col min="121" max="121" width="5.77734375" customWidth="1"/>
    <col min="122" max="122" width="4.88671875" customWidth="1"/>
    <col min="123" max="123" width="6" customWidth="1"/>
    <col min="124" max="124" width="7.44140625" customWidth="1"/>
    <col min="125" max="125" width="9.21875" bestFit="1" customWidth="1"/>
    <col min="126" max="126" width="5.44140625" customWidth="1"/>
    <col min="127" max="127" width="5.21875" customWidth="1"/>
    <col min="128" max="128" width="7.77734375" customWidth="1"/>
    <col min="129" max="129" width="6" customWidth="1"/>
    <col min="130" max="130" width="4.44140625" customWidth="1"/>
    <col min="131" max="131" width="6.109375" customWidth="1"/>
    <col min="132" max="132" width="9.21875" bestFit="1" customWidth="1"/>
    <col min="133" max="133" width="6.5546875" customWidth="1"/>
    <col min="134" max="134" width="4.77734375" customWidth="1"/>
    <col min="135" max="135" width="8.21875" customWidth="1"/>
    <col min="136" max="136" width="10.77734375" bestFit="1" customWidth="1"/>
  </cols>
  <sheetData>
    <row r="3" spans="1:2" x14ac:dyDescent="0.3">
      <c r="A3" s="27" t="s">
        <v>461</v>
      </c>
      <c r="B3" t="s">
        <v>463</v>
      </c>
    </row>
    <row r="4" spans="1:2" x14ac:dyDescent="0.3">
      <c r="A4" s="28" t="s">
        <v>7</v>
      </c>
      <c r="B4" s="29">
        <v>6329</v>
      </c>
    </row>
    <row r="5" spans="1:2" x14ac:dyDescent="0.3">
      <c r="A5" s="28" t="s">
        <v>2</v>
      </c>
      <c r="B5" s="29">
        <v>4978</v>
      </c>
    </row>
    <row r="6" spans="1:2" x14ac:dyDescent="0.3">
      <c r="A6" s="28" t="s">
        <v>462</v>
      </c>
      <c r="B6" s="29">
        <v>11307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 1</vt:lpstr>
      <vt:lpstr>pivot table1</vt:lpstr>
      <vt:lpstr>pivot 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2025-12-24T09:04:38Z</dcterms:created>
  <dcterms:modified xsi:type="dcterms:W3CDTF">2025-12-24T11:24:44Z</dcterms:modified>
</cp:coreProperties>
</file>