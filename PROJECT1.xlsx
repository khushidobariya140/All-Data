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All Data\"/>
    </mc:Choice>
  </mc:AlternateContent>
  <bookViews>
    <workbookView xWindow="0" yWindow="0" windowWidth="23040" windowHeight="9192" firstSheet="1" activeTab="1"/>
  </bookViews>
  <sheets>
    <sheet name="Project Instructions" sheetId="1" r:id="rId1"/>
    <sheet name="Students Grade" sheetId="2" r:id="rId2"/>
    <sheet name="Sales Data" sheetId="3" r:id="rId3"/>
    <sheet name="Employee Data" sheetId="4" r:id="rId4"/>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8" i="2" l="1"/>
  <c r="G5" i="3"/>
  <c r="N5" i="2"/>
  <c r="M5" i="2"/>
  <c r="H2" i="3"/>
  <c r="K3" i="3" l="1"/>
  <c r="K4" i="3"/>
  <c r="K5" i="3"/>
  <c r="K6" i="3"/>
  <c r="K7" i="3"/>
  <c r="K8" i="3"/>
  <c r="K9" i="3"/>
  <c r="K10" i="3"/>
  <c r="K11" i="3"/>
  <c r="K12" i="3"/>
  <c r="K13" i="3"/>
  <c r="K14" i="3"/>
  <c r="K15" i="3"/>
  <c r="K16" i="3"/>
  <c r="K17" i="3"/>
  <c r="K18" i="3"/>
  <c r="K19" i="3"/>
  <c r="K20" i="3"/>
  <c r="K21" i="3"/>
  <c r="K2" i="3"/>
  <c r="J3" i="3"/>
  <c r="J4" i="3"/>
  <c r="J5" i="3"/>
  <c r="J6" i="3"/>
  <c r="J7" i="3"/>
  <c r="J8" i="3"/>
  <c r="J9" i="3"/>
  <c r="J10" i="3"/>
  <c r="J11" i="3"/>
  <c r="J12" i="3"/>
  <c r="J13" i="3"/>
  <c r="J14" i="3"/>
  <c r="J15" i="3"/>
  <c r="J16" i="3"/>
  <c r="J17" i="3"/>
  <c r="J18" i="3"/>
  <c r="J19" i="3"/>
  <c r="J20" i="3"/>
  <c r="J21" i="3"/>
  <c r="J2" i="3"/>
  <c r="I2" i="3"/>
  <c r="I3" i="3"/>
  <c r="I4" i="3"/>
  <c r="I5" i="3"/>
  <c r="I6" i="3"/>
  <c r="I7" i="3"/>
  <c r="I8" i="3"/>
  <c r="I9" i="3"/>
  <c r="I10" i="3"/>
  <c r="I11" i="3"/>
  <c r="I12" i="3"/>
  <c r="I13" i="3"/>
  <c r="I14" i="3"/>
  <c r="I15" i="3"/>
  <c r="I16" i="3"/>
  <c r="I17" i="3"/>
  <c r="I18" i="3"/>
  <c r="I19" i="3"/>
  <c r="I20" i="3"/>
  <c r="I21" i="3"/>
  <c r="M2" i="2"/>
  <c r="H2" i="2"/>
  <c r="G2" i="2"/>
  <c r="G2" i="4" l="1"/>
  <c r="F2" i="4"/>
  <c r="G3" i="4" l="1"/>
  <c r="G4" i="4"/>
  <c r="G5" i="4"/>
  <c r="G6" i="4"/>
  <c r="G7" i="4"/>
  <c r="G8" i="4"/>
  <c r="G9" i="4"/>
  <c r="G10" i="4"/>
  <c r="G11" i="4"/>
  <c r="G12" i="4"/>
  <c r="G13" i="4"/>
  <c r="G14" i="4"/>
  <c r="G15" i="4"/>
  <c r="G16" i="4"/>
  <c r="G17" i="4"/>
  <c r="G18" i="4"/>
  <c r="G19" i="4"/>
  <c r="G20" i="4"/>
  <c r="G21" i="4"/>
  <c r="C22" i="2" l="1"/>
  <c r="I3" i="2" a="1"/>
  <c r="I3" i="2"/>
  <c r="F18" i="4"/>
  <c r="F3" i="4"/>
  <c r="F4" i="4"/>
  <c r="F5" i="4"/>
  <c r="F6" i="4"/>
  <c r="F7" i="4"/>
  <c r="F8" i="4"/>
  <c r="F9" i="4"/>
  <c r="F10" i="4"/>
  <c r="F11" i="4"/>
  <c r="F12" i="4"/>
  <c r="F13" i="4"/>
  <c r="F14" i="4"/>
  <c r="F15" i="4"/>
  <c r="F16" i="4"/>
  <c r="F17" i="4"/>
  <c r="F19" i="4"/>
  <c r="F20" i="4"/>
  <c r="F21" i="4"/>
  <c r="H3" i="4"/>
  <c r="H4" i="4"/>
  <c r="H5" i="4"/>
  <c r="H6" i="4"/>
  <c r="H7" i="4"/>
  <c r="H8" i="4"/>
  <c r="H9" i="4"/>
  <c r="H10" i="4"/>
  <c r="H11" i="4"/>
  <c r="H12" i="4"/>
  <c r="H13" i="4"/>
  <c r="H14" i="4"/>
  <c r="H15" i="4"/>
  <c r="H16" i="4"/>
  <c r="H17" i="4"/>
  <c r="H18" i="4"/>
  <c r="H19" i="4"/>
  <c r="H20" i="4"/>
  <c r="H21" i="4"/>
  <c r="H2" i="4"/>
  <c r="G3" i="2"/>
  <c r="H3" i="2" s="1"/>
  <c r="G4" i="2"/>
  <c r="H4" i="2" s="1"/>
  <c r="G5" i="2"/>
  <c r="H5" i="2" s="1"/>
  <c r="G6" i="2"/>
  <c r="H6" i="2" s="1"/>
  <c r="G7" i="2"/>
  <c r="H7" i="2" s="1"/>
  <c r="G8" i="2"/>
  <c r="H8" i="2" s="1"/>
  <c r="G9" i="2"/>
  <c r="H9" i="2" s="1"/>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L12" i="2"/>
  <c r="K12" i="2"/>
  <c r="J12" i="2"/>
  <c r="I12" i="2"/>
  <c r="L11" i="2"/>
  <c r="K11" i="2"/>
  <c r="J11" i="2"/>
  <c r="I11" i="2"/>
  <c r="L10" i="2"/>
  <c r="K10" i="2"/>
  <c r="J10" i="2"/>
  <c r="I10" i="2"/>
  <c r="L9" i="2"/>
  <c r="K9" i="2"/>
  <c r="J9" i="2"/>
  <c r="I9" i="2"/>
  <c r="L8" i="2"/>
  <c r="K8" i="2"/>
  <c r="J8" i="2"/>
  <c r="I8" i="2"/>
  <c r="L7" i="2"/>
  <c r="K7" i="2"/>
  <c r="J7" i="2"/>
  <c r="I7" i="2"/>
  <c r="L6" i="2"/>
  <c r="K6" i="2"/>
  <c r="J6" i="2"/>
  <c r="I6" i="2"/>
  <c r="L5" i="2"/>
  <c r="K5" i="2"/>
  <c r="J5" i="2"/>
  <c r="I5" i="2"/>
  <c r="L4" i="2"/>
  <c r="K4" i="2"/>
  <c r="J4" i="2"/>
  <c r="I4" i="2"/>
  <c r="L3" i="2"/>
  <c r="K3" i="2"/>
  <c r="J3"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<sst xmlns="http://schemas.openxmlformats.org/spreadsheetml/2006/main" count="199" uniqueCount="149">
  <si>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</si>
  <si>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</si>
  <si>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</si>
  <si>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</si>
  <si>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</si>
  <si>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</si>
  <si>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</si>
  <si>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</si>
  <si>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</si>
  <si>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</si>
  <si>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</si>
  <si>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</si>
  <si>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</si>
  <si>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</si>
  <si>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</si>
  <si>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</si>
  <si>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</si>
  <si>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</si>
  <si>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</si>
  <si>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</si>
  <si>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</si>
  <si>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</si>
  <si>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</si>
  <si>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</si>
  <si>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</si>
  <si>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</si>
  <si>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</si>
  <si>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</si>
  <si>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</si>
  <si>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</si>
  <si>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</si>
  <si>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</si>
  <si>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</si>
  <si>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</si>
  <si>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</si>
  <si>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</si>
  <si>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</si>
  <si>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</si>
  <si>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</si>
  <si>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</si>
  <si>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</si>
  <si>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</si>
  <si>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</si>
  <si>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</si>
  <si>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</si>
  <si>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</si>
  <si>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</si>
  <si>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</si>
  <si>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</si>
  <si>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</si>
  <si>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</si>
  <si>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</si>
  <si>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</si>
  <si>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</si>
  <si>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</si>
  <si>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</si>
  <si>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</si>
  <si>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</si>
  <si>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</si>
  <si>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</si>
  <si>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</si>
  <si>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</si>
  <si>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</si>
  <si>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</si>
  <si>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</si>
  <si>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</si>
  <si>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</si>
  <si>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</si>
  <si>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</si>
  <si>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</si>
  <si>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</si>
  <si>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</si>
  <si>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</si>
  <si>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</si>
  <si>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</si>
  <si>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</si>
  <si>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</si>
  <si>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</si>
  <si>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</si>
  <si>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</si>
  <si>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</si>
  <si>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</si>
  <si>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</si>
  <si>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</si>
  <si>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</si>
  <si>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</si>
  <si>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</si>
  <si>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</si>
  <si>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</si>
  <si>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</si>
  <si>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</si>
  <si>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</si>
  <si>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</si>
  <si>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</si>
  <si>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</si>
  <si>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</si>
  <si>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</si>
  <si>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</si>
  <si>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</si>
  <si>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</si>
  <si>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</si>
  <si>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</si>
  <si>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</si>
  <si>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</si>
  <si>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</si>
  <si>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</si>
  <si>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</si>
  <si>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</si>
  <si>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</si>
  <si>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</si>
  <si>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</si>
  <si>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</si>
  <si>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</si>
  <si>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</si>
  <si>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SCIENCE</t>
  </si>
  <si>
    <t>MATHS</t>
  </si>
  <si>
    <t>NAME</t>
  </si>
  <si>
    <t>ENGLISH</t>
  </si>
  <si>
    <t>SCORED ABOVE 60 ALL SUBJECTS</t>
  </si>
  <si>
    <t>STUDENT ABOVE 80 MARKS</t>
  </si>
  <si>
    <t>GRADES</t>
  </si>
  <si>
    <t>ENROLLMENT DATE</t>
  </si>
  <si>
    <t>TOTAL MARKS</t>
  </si>
  <si>
    <t>STUDENT ID</t>
  </si>
  <si>
    <t>MATH</t>
  </si>
  <si>
    <t xml:space="preserve">SCIENCE </t>
  </si>
  <si>
    <t>SALES ID</t>
  </si>
  <si>
    <t>PRODUCT</t>
  </si>
  <si>
    <t>REGION</t>
  </si>
  <si>
    <t>SALESPERSON</t>
  </si>
  <si>
    <t>AMOUNT</t>
  </si>
  <si>
    <t>DATE</t>
  </si>
  <si>
    <t>INPUT(SALES ID)</t>
  </si>
  <si>
    <t>VLOOKUP</t>
  </si>
  <si>
    <t>EXTRACT YEAR</t>
  </si>
  <si>
    <t>EXTRACT DATE</t>
  </si>
  <si>
    <t>EXTR. MONTH</t>
  </si>
  <si>
    <t>DATEDIF</t>
  </si>
  <si>
    <t>UPPERCASE</t>
  </si>
  <si>
    <t>EMPLOYEE ID</t>
  </si>
  <si>
    <t>DEPARTMENT</t>
  </si>
  <si>
    <t>SALARY</t>
  </si>
  <si>
    <t>JOINING DATE</t>
  </si>
  <si>
    <t>PROBATION DATE</t>
  </si>
  <si>
    <t>JOIN MONTH</t>
  </si>
  <si>
    <t>JOIN YEAR</t>
  </si>
  <si>
    <t>INPUT (EMP ID)</t>
  </si>
  <si>
    <t>LOWERCASE</t>
  </si>
  <si>
    <t xml:space="preserve">LEFT 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</si>
</sst>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yyyy\-mm\-dd\ hh:mm:ss"/>
    <numFmt numFmtId="165" formatCode="&quot;₹&quot;\ #,##0.00"/>
    <numFmt numFmtId="166" formatCode="&quot;₹&quot;\ #,##0"/>
  </numFmts>
  <fonts count="10">
    <font>
      <sz val="11"/>
      <color theme="1"/>
      <name val="Calibri"/>
      <scheme val="minor"/>
    </font>
    <font>
      <b/>
      <sz val="11"/>
      <color theme="1"/>
      <name val="Calibri"/>
      <family val="2"/>
      <scheme val="minor"/>
    </font>
    <font>
      <sz val="11"/>
      <color theme="1"/>
      <name val="Calibri"/>
      <family val="2"/>
      <scheme val="minor"/>
    </font>
    <font>
      <sz val="11"/>
      <color rgb="FF000000"/>
      <name val="Calibri"/>
      <family val="2"/>
    </font>
    <font>
      <b/>
      <sz val="11"/>
      <color rgb="FF000000"/>
      <name val="Calibri, sans-serif"/>
    </font>
    <font>
      <sz val="11"/>
      <color rgb="FF000000"/>
      <name val="Calibri, sans-serif"/>
    </font>
    <font>
      <b/>
      <sz val="11"/>
      <color rgb="FF38761D"/>
      <name val="Calibri, sans-serif"/>
    </font>
    <font>
      <sz val="11"/>
      <color rgb="FF38761D"/>
      <name val="Calibri, sans-serif"/>
    </font>
    <font>
      <b/>
      <u/>
      <sz val="11"/>
      <color theme="1"/>
      <name val="Calibri"/>
      <family val="2"/>
      <scheme val="minor"/>
    </font>
    <font>
      <b/>
      <sz val="11"/>
      <color rgb="FF000000"/>
      <name val="Calibri"/>
      <family val="2"/>
    </font>
  </fonts>
  <fills count="13">
    <fill>
      <patternFill patternType="none"/>
    </fill>
    <fill>
      <patternFill patternType="gray125"/>
    </fill>
    <fill>
      <patternFill patternType="solid">
        <fgColor rgb="FFFFF2CC"/>
        <bgColor rgb="FFFFF2CC"/>
      </patternFill>
    </fill>
    <fill>
      <patternFill patternType="solid">
        <fgColor theme="7"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E7B7CD"/>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5">
    <xf numFmtId="0" fontId="0" fillId="0" borderId="0" xfId="0" applyFont="1" applyAlignment="1"/>
    <xf numFmtId="0" fontId="1" fillId="2" borderId="1" xfId="0" applyFont="1" applyFill="1" applyBorder="1" applyAlignment="1">
      <alignment horizontal="center" vertical="center"/>
    </xf>
    <xf numFmtId="0" fontId="3" fillId="0" borderId="1" xfId="0" applyFont="1" applyBorder="1" applyAlignment="1">
      <alignment vertical="center"/>
    </xf>
    <xf numFmtId="0" fontId="2" fillId="0" borderId="0" xfId="0" applyFont="1" applyAlignment="1">
      <alignment vertical="center"/>
    </xf>
    <xf numFmtId="0" fontId="1" fillId="0" borderId="1" xfId="0" applyFont="1" applyBorder="1" applyAlignment="1">
      <alignment vertical="center"/>
    </xf>
    <xf numFmtId="0" fontId="2" fillId="0" borderId="1" xfId="0" applyFont="1" applyBorder="1" applyAlignment="1">
      <alignment vertical="center"/>
    </xf>
    <xf numFmtId="0" fontId="2" fillId="0" borderId="0" xfId="0" applyFont="1" applyAlignment="1">
      <alignment horizontal="center" vertical="center"/>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164" fontId="3" fillId="4" borderId="1" xfId="0" applyNumberFormat="1" applyFont="1" applyFill="1" applyBorder="1" applyAlignment="1">
      <alignment horizontal="center" vertical="center"/>
    </xf>
    <xf numFmtId="164" fontId="3" fillId="3" borderId="2" xfId="0" applyNumberFormat="1" applyFont="1" applyFill="1" applyBorder="1" applyAlignment="1">
      <alignment horizontal="center" vertical="center"/>
    </xf>
    <xf numFmtId="0" fontId="3" fillId="3" borderId="3" xfId="0" applyFont="1" applyFill="1" applyBorder="1" applyAlignment="1">
      <alignment horizontal="center" vertical="center"/>
    </xf>
    <xf numFmtId="164" fontId="3" fillId="4" borderId="2" xfId="0" applyNumberFormat="1" applyFont="1" applyFill="1" applyBorder="1" applyAlignment="1">
      <alignment horizontal="center" vertical="center"/>
    </xf>
    <xf numFmtId="165" fontId="3" fillId="4" borderId="1" xfId="0" applyNumberFormat="1" applyFont="1" applyFill="1" applyBorder="1" applyAlignment="1">
      <alignment horizontal="center" vertical="center"/>
    </xf>
    <xf numFmtId="165" fontId="2" fillId="0" borderId="0" xfId="0" applyNumberFormat="1" applyFont="1" applyAlignment="1">
      <alignment horizontal="center" vertical="center"/>
    </xf>
    <xf numFmtId="0" fontId="3" fillId="5" borderId="1" xfId="0" applyFont="1" applyFill="1" applyBorder="1" applyAlignment="1">
      <alignment horizontal="center" vertical="center"/>
    </xf>
    <xf numFmtId="0" fontId="2" fillId="5" borderId="1" xfId="0" applyFont="1" applyFill="1" applyBorder="1" applyAlignment="1">
      <alignment horizontal="center" vertical="center"/>
    </xf>
    <xf numFmtId="14" fontId="2" fillId="0" borderId="0" xfId="0" applyNumberFormat="1" applyFont="1" applyAlignment="1">
      <alignment horizontal="center" vertical="center"/>
    </xf>
    <xf numFmtId="14" fontId="2" fillId="5" borderId="1" xfId="0" applyNumberFormat="1" applyFont="1" applyFill="1" applyBorder="1" applyAlignment="1">
      <alignment horizontal="center" vertical="center"/>
    </xf>
    <xf numFmtId="0" fontId="2" fillId="5" borderId="2" xfId="0" applyFont="1" applyFill="1" applyBorder="1" applyAlignment="1">
      <alignment horizontal="center" vertical="center"/>
    </xf>
    <xf numFmtId="166" fontId="3" fillId="5" borderId="1" xfId="0" applyNumberFormat="1" applyFont="1" applyFill="1" applyBorder="1" applyAlignment="1">
      <alignment horizontal="center" vertical="center"/>
    </xf>
    <xf numFmtId="166" fontId="2" fillId="0" borderId="0" xfId="0" applyNumberFormat="1" applyFont="1" applyAlignment="1">
      <alignment horizontal="center" vertical="center"/>
    </xf>
    <xf numFmtId="14" fontId="3" fillId="5" borderId="2" xfId="0" applyNumberFormat="1" applyFont="1" applyFill="1" applyBorder="1" applyAlignment="1">
      <alignment horizontal="center" vertical="center"/>
    </xf>
    <xf numFmtId="14" fontId="3" fillId="5"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0" borderId="2"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3" xfId="0" applyFont="1" applyFill="1" applyBorder="1" applyAlignment="1">
      <alignment horizontal="center" vertical="center"/>
    </xf>
    <xf numFmtId="0" fontId="1" fillId="8"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8" borderId="1" xfId="0" applyFont="1" applyFill="1" applyBorder="1" applyAlignment="1">
      <alignment horizontal="center" vertical="center"/>
    </xf>
    <xf numFmtId="0" fontId="2" fillId="12" borderId="2" xfId="0" applyFont="1" applyFill="1" applyBorder="1" applyAlignment="1">
      <alignment horizontal="center" vertical="center"/>
    </xf>
    <xf numFmtId="0" fontId="2" fillId="6" borderId="7" xfId="0" applyFont="1" applyFill="1" applyBorder="1" applyAlignment="1">
      <alignment horizontal="center" vertical="center"/>
    </xf>
    <xf numFmtId="0" fontId="9" fillId="6" borderId="1" xfId="0" applyFont="1" applyFill="1" applyBorder="1" applyAlignment="1">
      <alignment horizontal="center" vertical="center"/>
    </xf>
    <xf numFmtId="0" fontId="1" fillId="6" borderId="1" xfId="0" applyFont="1" applyFill="1" applyBorder="1" applyAlignment="1">
      <alignment horizontal="center" vertical="center"/>
    </xf>
    <xf numFmtId="0" fontId="1" fillId="10" borderId="7" xfId="0" applyFont="1" applyFill="1" applyBorder="1" applyAlignment="1">
      <alignment horizontal="center" vertical="center"/>
    </xf>
    <xf numFmtId="165" fontId="2" fillId="6" borderId="2" xfId="0" applyNumberFormat="1" applyFont="1" applyFill="1" applyBorder="1" applyAlignment="1">
      <alignment horizontal="center" vertical="center"/>
    </xf>
    <xf numFmtId="0" fontId="2" fillId="6" borderId="0" xfId="0" applyFont="1" applyFill="1" applyAlignment="1">
      <alignment horizontal="center" vertical="center"/>
    </xf>
    <xf numFmtId="0" fontId="1" fillId="0" borderId="0" xfId="0" applyFont="1" applyAlignment="1"/>
    <xf numFmtId="0" fontId="2" fillId="6" borderId="2" xfId="0" applyFont="1" applyFill="1" applyBorder="1" applyAlignment="1">
      <alignment horizontal="center" vertical="center"/>
    </xf>
    <xf numFmtId="0" fontId="1" fillId="5" borderId="7" xfId="0" applyFont="1" applyFill="1" applyBorder="1" applyAlignment="1">
      <alignment horizontal="center" vertical="center"/>
    </xf>
    <xf numFmtId="0" fontId="2" fillId="9" borderId="7" xfId="0" applyFont="1" applyFill="1" applyBorder="1" applyAlignment="1">
      <alignment horizontal="center" vertical="center"/>
    </xf>
    <xf numFmtId="0" fontId="1" fillId="4" borderId="7" xfId="0" applyFont="1" applyFill="1" applyBorder="1" applyAlignment="1">
      <alignment horizontal="center" vertical="center"/>
    </xf>
    <xf numFmtId="0" fontId="2" fillId="11" borderId="7" xfId="0" applyFont="1" applyFill="1" applyBorder="1" applyAlignment="1">
      <alignment horizontal="center" vertical="center"/>
    </xf>
    <xf numFmtId="0" fontId="9" fillId="5" borderId="1" xfId="0" applyFont="1" applyFill="1" applyBorder="1" applyAlignment="1">
      <alignment horizontal="center" vertical="center"/>
    </xf>
    <xf numFmtId="165" fontId="9" fillId="5" borderId="1" xfId="0" applyNumberFormat="1" applyFont="1" applyFill="1" applyBorder="1" applyAlignment="1">
      <alignment horizontal="center" vertical="center"/>
    </xf>
    <xf numFmtId="0" fontId="9" fillId="5" borderId="2"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xf>
    <xf numFmtId="166" fontId="9" fillId="6" borderId="1" xfId="0" applyNumberFormat="1" applyFont="1" applyFill="1" applyBorder="1" applyAlignment="1">
      <alignment horizontal="center" vertical="center"/>
    </xf>
    <xf numFmtId="14" fontId="9" fillId="6" borderId="2" xfId="0" applyNumberFormat="1" applyFont="1" applyFill="1" applyBorder="1" applyAlignment="1">
      <alignment horizontal="center" vertical="center"/>
    </xf>
    <xf numFmtId="14" fontId="1" fillId="6" borderId="3" xfId="0" applyNumberFormat="1" applyFont="1" applyFill="1" applyBorder="1" applyAlignment="1">
      <alignment horizontal="center" vertical="center"/>
    </xf>
    <xf numFmtId="0" fontId="1" fillId="6" borderId="3" xfId="0" applyFont="1" applyFill="1" applyBorder="1" applyAlignment="1">
      <alignment horizontal="center" vertical="center"/>
    </xf>
    <xf numFmtId="0" fontId="1" fillId="6" borderId="4" xfId="0" applyFont="1" applyFill="1" applyBorder="1" applyAlignment="1">
      <alignment horizontal="center" vertical="center"/>
    </xf>
    <xf numFmtId="0" fontId="2" fillId="3" borderId="1" xfId="0" applyFont="1" applyFill="1" applyBorder="1" applyAlignment="1">
      <alignment horizontal="center" vertical="center"/>
    </xf>
    <xf numFmtId="0" fontId="1" fillId="8" borderId="5" xfId="0" applyFont="1" applyFill="1" applyBorder="1" applyAlignment="1">
      <alignment horizontal="center" vertical="center"/>
    </xf>
    <xf numFmtId="0" fontId="8" fillId="8" borderId="0" xfId="0" applyFont="1" applyFill="1" applyBorder="1" applyAlignment="1">
      <alignment horizontal="center" vertical="center"/>
    </xf>
    <xf numFmtId="0" fontId="1" fillId="8" borderId="4" xfId="0" applyFont="1" applyFill="1" applyBorder="1" applyAlignment="1">
      <alignment horizontal="center" vertical="center"/>
    </xf>
    <xf numFmtId="0" fontId="1" fillId="8" borderId="8"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6" xfId="0" applyFont="1" applyFill="1" applyBorder="1" applyAlignment="1">
      <alignment horizontal="center" vertical="center"/>
    </xf>
    <xf numFmtId="0" fontId="1" fillId="8" borderId="9" xfId="0" applyFont="1" applyFill="1" applyBorder="1" applyAlignment="1">
      <alignment horizontal="center" vertical="center"/>
    </xf>
    <xf numFmtId="0" fontId="2" fillId="8" borderId="10" xfId="0" applyFont="1" applyFill="1" applyBorder="1" applyAlignment="1">
      <alignment horizontal="center" vertical="center"/>
    </xf>
    <xf numFmtId="0" fontId="2" fillId="7" borderId="9" xfId="0" applyFont="1" applyFill="1" applyBorder="1" applyAlignment="1">
      <alignment horizontal="center" vertical="center"/>
    </xf>
    <xf numFmtId="0" fontId="2" fillId="7" borderId="10"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E7B7CD"/>
      <color rgb="FFD5FFA6"/>
      <color rgb="FFDBA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77"/>
  <sheetViews>
    <sheetView topLeftCell="Z1" workbookViewId="0">
      <selection activeCell="AE4" sqref="AE4"/>
    </sheetView>
  </sheetViews>
  <sheetFormatPr defaultColWidth="14.44140625" defaultRowHeight="15" customHeight="1"/>
  <cols>
    <col min="1" max="1" width="75.44140625" customWidth="1"/>
  </cols>
  <sheetData>
    <row r="1" spans="1:26">
      <c r="A1" s="1" t="s">
        <v>0</v>
      </c>
      <c r="B1" s="3"/>
      <c r="C1" s="3"/>
      <c r="D1" s="3"/>
      <c r="E1" s="3"/>
      <c r="F1" s="3"/>
      <c r="G1" s="3"/>
      <c r="H1" s="3"/>
      <c r="I1" s="3"/>
      <c r="J1" s="3"/>
      <c r="K1" s="3"/>
      <c r="L1" s="3"/>
      <c r="M1" s="3"/>
      <c r="N1" s="3"/>
      <c r="O1" s="3"/>
      <c r="P1" s="3"/>
      <c r="Q1" s="3"/>
      <c r="R1" s="3"/>
      <c r="S1" s="3"/>
      <c r="T1" s="3"/>
      <c r="U1" s="3"/>
      <c r="V1" s="3"/>
      <c r="W1" s="3"/>
      <c r="X1" s="3"/>
      <c r="Y1" s="3"/>
      <c r="Z1" s="3"/>
    </row>
    <row r="2" spans="1:26">
      <c r="A2" s="2" t="s">
        <v>1</v>
      </c>
      <c r="B2" s="3"/>
      <c r="C2" s="3"/>
      <c r="D2" s="3"/>
      <c r="E2" s="3"/>
      <c r="F2" s="3"/>
      <c r="G2" s="3"/>
      <c r="H2" s="3"/>
      <c r="I2" s="3"/>
      <c r="J2" s="3"/>
      <c r="K2" s="3"/>
      <c r="L2" s="3"/>
      <c r="M2" s="3"/>
      <c r="N2" s="3"/>
      <c r="O2" s="3"/>
      <c r="P2" s="3"/>
      <c r="Q2" s="3"/>
      <c r="R2" s="3"/>
      <c r="S2" s="3"/>
      <c r="T2" s="3"/>
      <c r="U2" s="3"/>
      <c r="V2" s="3"/>
      <c r="W2" s="3"/>
      <c r="X2" s="3"/>
      <c r="Y2" s="3"/>
      <c r="Z2" s="3"/>
    </row>
    <row r="3" spans="1:26">
      <c r="A3" s="3"/>
      <c r="B3" s="3"/>
      <c r="C3" s="3"/>
      <c r="D3" s="3"/>
      <c r="E3" s="3"/>
      <c r="F3" s="3"/>
      <c r="G3" s="3"/>
      <c r="H3" s="3"/>
      <c r="I3" s="3"/>
      <c r="J3" s="3"/>
      <c r="K3" s="3"/>
      <c r="L3" s="3"/>
      <c r="M3" s="3"/>
      <c r="N3" s="3"/>
      <c r="O3" s="3"/>
      <c r="P3" s="3"/>
      <c r="Q3" s="3"/>
      <c r="R3" s="3"/>
      <c r="S3" s="3"/>
      <c r="T3" s="3"/>
      <c r="U3" s="3"/>
      <c r="V3" s="3"/>
      <c r="W3" s="3"/>
      <c r="X3" s="3"/>
      <c r="Y3" s="3"/>
      <c r="Z3" s="3"/>
    </row>
    <row r="4" spans="1:26">
      <c r="A4" s="3"/>
      <c r="B4" s="3"/>
      <c r="C4" s="3"/>
      <c r="D4" s="3"/>
      <c r="E4" s="3"/>
      <c r="F4" s="3"/>
      <c r="G4" s="3"/>
      <c r="H4" s="3"/>
      <c r="I4" s="3"/>
      <c r="J4" s="3"/>
      <c r="K4" s="3"/>
      <c r="L4" s="3"/>
      <c r="M4" s="3"/>
      <c r="N4" s="3"/>
      <c r="O4" s="3"/>
      <c r="P4" s="3"/>
      <c r="Q4" s="3"/>
      <c r="R4" s="3"/>
      <c r="S4" s="3"/>
      <c r="T4" s="3"/>
      <c r="U4" s="3"/>
      <c r="V4" s="3"/>
      <c r="W4" s="3"/>
      <c r="X4" s="3"/>
      <c r="Y4" s="3"/>
      <c r="Z4" s="3"/>
    </row>
    <row r="5" spans="1:26">
      <c r="A5" s="1" t="s">
        <v>2</v>
      </c>
      <c r="B5" s="3"/>
      <c r="C5" s="3"/>
      <c r="D5" s="3"/>
      <c r="E5" s="3"/>
      <c r="F5" s="3"/>
      <c r="G5" s="3"/>
      <c r="H5" s="3"/>
      <c r="I5" s="3"/>
      <c r="J5" s="3"/>
      <c r="K5" s="3"/>
      <c r="L5" s="3"/>
      <c r="M5" s="3"/>
      <c r="N5" s="3"/>
      <c r="O5" s="3"/>
      <c r="P5" s="3"/>
      <c r="Q5" s="3"/>
      <c r="R5" s="3"/>
      <c r="S5" s="3"/>
      <c r="T5" s="3"/>
      <c r="U5" s="3"/>
      <c r="V5" s="3"/>
      <c r="W5" s="3"/>
      <c r="X5" s="3"/>
      <c r="Y5" s="3"/>
      <c r="Z5" s="3"/>
    </row>
    <row r="6" spans="1:26">
      <c r="A6" s="4" t="s">
        <v>3</v>
      </c>
      <c r="B6" s="3"/>
      <c r="C6" s="3"/>
      <c r="D6" s="3"/>
      <c r="E6" s="3"/>
      <c r="F6" s="3"/>
      <c r="G6" s="3"/>
      <c r="H6" s="3"/>
      <c r="I6" s="3"/>
      <c r="J6" s="3"/>
      <c r="K6" s="3"/>
      <c r="L6" s="3"/>
      <c r="M6" s="3"/>
      <c r="N6" s="3"/>
      <c r="O6" s="3"/>
      <c r="P6" s="3"/>
      <c r="Q6" s="3"/>
      <c r="R6" s="3"/>
      <c r="S6" s="3"/>
      <c r="T6" s="3"/>
      <c r="U6" s="3"/>
      <c r="V6" s="3"/>
      <c r="W6" s="3"/>
      <c r="X6" s="3"/>
      <c r="Y6" s="3"/>
      <c r="Z6" s="3"/>
    </row>
    <row r="7" spans="1:26">
      <c r="A7" s="5" t="s">
        <v>4</v>
      </c>
      <c r="B7" s="3"/>
      <c r="C7" s="3"/>
      <c r="D7" s="3"/>
      <c r="E7" s="3"/>
      <c r="F7" s="3"/>
      <c r="G7" s="3"/>
      <c r="H7" s="3"/>
      <c r="I7" s="3"/>
      <c r="J7" s="3"/>
      <c r="K7" s="3"/>
      <c r="L7" s="3"/>
      <c r="M7" s="3"/>
      <c r="N7" s="3"/>
      <c r="O7" s="3"/>
      <c r="P7" s="3"/>
      <c r="Q7" s="3"/>
      <c r="R7" s="3"/>
      <c r="S7" s="3"/>
      <c r="T7" s="3"/>
      <c r="U7" s="3"/>
      <c r="V7" s="3"/>
      <c r="W7" s="3"/>
      <c r="X7" s="3"/>
      <c r="Y7" s="3"/>
      <c r="Z7" s="3"/>
    </row>
    <row r="8" spans="1:26">
      <c r="A8" s="5" t="s">
        <v>5</v>
      </c>
      <c r="B8" s="3"/>
      <c r="C8" s="3"/>
      <c r="D8" s="3"/>
      <c r="E8" s="3"/>
      <c r="F8" s="3"/>
      <c r="G8" s="3"/>
      <c r="H8" s="3"/>
      <c r="I8" s="3"/>
      <c r="J8" s="3"/>
      <c r="K8" s="3"/>
      <c r="L8" s="3"/>
      <c r="M8" s="3"/>
      <c r="N8" s="3"/>
      <c r="O8" s="3"/>
      <c r="P8" s="3"/>
      <c r="Q8" s="3"/>
      <c r="R8" s="3"/>
      <c r="S8" s="3"/>
      <c r="T8" s="3"/>
      <c r="U8" s="3"/>
      <c r="V8" s="3"/>
      <c r="W8" s="3"/>
      <c r="X8" s="3"/>
      <c r="Y8" s="3"/>
      <c r="Z8" s="3"/>
    </row>
    <row r="9" spans="1:26">
      <c r="A9" s="5"/>
      <c r="B9" s="3"/>
      <c r="C9" s="3"/>
      <c r="D9" s="3"/>
      <c r="E9" s="3"/>
      <c r="F9" s="3"/>
      <c r="G9" s="3"/>
      <c r="H9" s="3"/>
      <c r="I9" s="3"/>
      <c r="J9" s="3"/>
      <c r="K9" s="3"/>
      <c r="L9" s="3"/>
      <c r="M9" s="3"/>
      <c r="N9" s="3"/>
      <c r="O9" s="3"/>
      <c r="P9" s="3"/>
      <c r="Q9" s="3"/>
      <c r="R9" s="3"/>
      <c r="S9" s="3"/>
      <c r="T9" s="3"/>
      <c r="U9" s="3"/>
      <c r="V9" s="3"/>
      <c r="W9" s="3"/>
      <c r="X9" s="3"/>
      <c r="Y9" s="3"/>
      <c r="Z9" s="3"/>
    </row>
    <row r="10" spans="1:26">
      <c r="A10" s="4" t="s">
        <v>6</v>
      </c>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5" t="s">
        <v>7</v>
      </c>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5" t="s">
        <v>8</v>
      </c>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5"/>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4" t="s">
        <v>9</v>
      </c>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5" t="s">
        <v>10</v>
      </c>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5" t="s">
        <v>11</v>
      </c>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5"/>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4" t="s">
        <v>12</v>
      </c>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5" t="s">
        <v>13</v>
      </c>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5" t="s">
        <v>14</v>
      </c>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5" t="s">
        <v>15</v>
      </c>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5"/>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4" t="s">
        <v>16</v>
      </c>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5" t="s">
        <v>17</v>
      </c>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5" t="s">
        <v>18</v>
      </c>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5"/>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4" t="s">
        <v>19</v>
      </c>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5" t="s">
        <v>20</v>
      </c>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5" t="s">
        <v>21</v>
      </c>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5"/>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4" t="s">
        <v>22</v>
      </c>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5" t="s">
        <v>23</v>
      </c>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5" t="s">
        <v>24</v>
      </c>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5"/>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4" t="s">
        <v>25</v>
      </c>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5" t="s">
        <v>26</v>
      </c>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5" t="s">
        <v>27</v>
      </c>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5"/>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4" t="s">
        <v>28</v>
      </c>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5" t="s">
        <v>29</v>
      </c>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5"/>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4" t="s">
        <v>30</v>
      </c>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5" t="s">
        <v>31</v>
      </c>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5"/>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4" t="s">
        <v>32</v>
      </c>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5" t="s">
        <v>33</v>
      </c>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5"/>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4" t="s">
        <v>34</v>
      </c>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5" t="s">
        <v>35</v>
      </c>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5" t="s">
        <v>36</v>
      </c>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5"/>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4" t="s">
        <v>37</v>
      </c>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5" t="s">
        <v>38</v>
      </c>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5"/>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4" t="s">
        <v>39</v>
      </c>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5" t="s">
        <v>40</v>
      </c>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2"/>
  <sheetViews>
    <sheetView tabSelected="1" zoomScale="85" zoomScaleNormal="85" workbookViewId="0">
      <selection activeCell="M8" sqref="M8"/>
    </sheetView>
  </sheetViews>
  <sheetFormatPr defaultColWidth="13.88671875" defaultRowHeight="27" customHeight="1"/>
  <cols>
    <col min="1" max="5" width="13.88671875" style="6"/>
    <col min="6" max="6" width="19" style="6" bestFit="1" customWidth="1"/>
    <col min="7" max="8" width="13.88671875" style="6"/>
    <col min="9" max="9" width="15.6640625" style="6" customWidth="1"/>
    <col min="10" max="10" width="28.88671875" style="6" bestFit="1" customWidth="1"/>
    <col min="11" max="12" width="13.88671875" style="6"/>
    <col min="13" max="13" width="23.109375" style="6" bestFit="1" customWidth="1"/>
    <col min="14" max="26" width="13.88671875" style="6"/>
  </cols>
  <sheetData>
    <row r="1" spans="1:16" ht="27" customHeight="1">
      <c r="A1" s="30" t="s">
        <v>123</v>
      </c>
      <c r="B1" s="30" t="s">
        <v>116</v>
      </c>
      <c r="C1" s="30" t="s">
        <v>124</v>
      </c>
      <c r="D1" s="30" t="s">
        <v>125</v>
      </c>
      <c r="E1" s="30" t="s">
        <v>117</v>
      </c>
      <c r="F1" s="29" t="s">
        <v>121</v>
      </c>
      <c r="G1" s="28" t="s">
        <v>122</v>
      </c>
      <c r="H1" s="28" t="s">
        <v>120</v>
      </c>
      <c r="I1" s="55" t="s">
        <v>119</v>
      </c>
      <c r="J1" s="56"/>
      <c r="K1" s="56"/>
      <c r="L1" s="56"/>
      <c r="M1" s="57" t="s">
        <v>118</v>
      </c>
      <c r="N1" s="58"/>
      <c r="O1"/>
      <c r="P1"/>
    </row>
    <row r="2" spans="1:16" ht="27" customHeight="1">
      <c r="A2" s="7">
        <v>1001</v>
      </c>
      <c r="B2" s="7" t="s">
        <v>41</v>
      </c>
      <c r="C2" s="7">
        <v>61</v>
      </c>
      <c r="D2" s="7">
        <v>48</v>
      </c>
      <c r="E2" s="7">
        <v>76</v>
      </c>
      <c r="F2" s="10">
        <v>43101</v>
      </c>
      <c r="G2" s="31">
        <f>SUM(C2,D2,E2)</f>
        <v>185</v>
      </c>
      <c r="H2" s="31" t="str">
        <f>IF(G2&gt;=250, "A", IF(G2&gt;=185, "B", IF(G2&gt;=130, "C", "D")))</f>
        <v>B</v>
      </c>
      <c r="I2" s="24" t="s">
        <v>116</v>
      </c>
      <c r="J2" s="24" t="s">
        <v>115</v>
      </c>
      <c r="K2" s="24" t="s">
        <v>114</v>
      </c>
      <c r="L2" s="25" t="s">
        <v>117</v>
      </c>
      <c r="M2" s="59">
        <f>COUNTIFS(C2:C21,"&gt;60",D2:D21,"&gt;60",E2:E21,"&gt;60")</f>
        <v>6</v>
      </c>
      <c r="N2" s="60"/>
      <c r="O2"/>
      <c r="P2"/>
    </row>
    <row r="3" spans="1:16" ht="27" customHeight="1">
      <c r="A3" s="7">
        <v>1002</v>
      </c>
      <c r="B3" s="7" t="s">
        <v>42</v>
      </c>
      <c r="C3" s="7">
        <v>78</v>
      </c>
      <c r="D3" s="7">
        <v>76</v>
      </c>
      <c r="E3" s="7">
        <v>70</v>
      </c>
      <c r="F3" s="10">
        <v>43281</v>
      </c>
      <c r="G3" s="31">
        <f t="shared" ref="G3:G21" si="0">SUM(C3,D3,E3)</f>
        <v>224</v>
      </c>
      <c r="H3" s="31" t="str">
        <f t="shared" ref="H3:H21" si="1">IF(G3&gt;=250, "A", IF(G3&gt;=185, "B", IF(G3&gt;=130, "C", "D")))</f>
        <v>B</v>
      </c>
      <c r="I3" s="26" t="str" cm="1">
        <f t="array" ref="I3:L12">_xlfn._xlws.FILTER(B2:E21,C2:C21&gt;80,"Not Found")</f>
        <v>Student 3</v>
      </c>
      <c r="J3" s="26">
        <v>97</v>
      </c>
      <c r="K3" s="26">
        <v>60</v>
      </c>
      <c r="L3" s="26">
        <v>51</v>
      </c>
      <c r="O3"/>
      <c r="P3"/>
    </row>
    <row r="4" spans="1:16" ht="27" customHeight="1">
      <c r="A4" s="7">
        <v>1003</v>
      </c>
      <c r="B4" s="7" t="s">
        <v>43</v>
      </c>
      <c r="C4" s="7">
        <v>97</v>
      </c>
      <c r="D4" s="7">
        <v>60</v>
      </c>
      <c r="E4" s="7">
        <v>51</v>
      </c>
      <c r="F4" s="10">
        <v>43461</v>
      </c>
      <c r="G4" s="31">
        <f t="shared" si="0"/>
        <v>208</v>
      </c>
      <c r="H4" s="31" t="str">
        <f t="shared" si="1"/>
        <v>B</v>
      </c>
      <c r="I4" s="26" t="str">
        <v>Student 8</v>
      </c>
      <c r="J4" s="26">
        <v>94</v>
      </c>
      <c r="K4" s="26">
        <v>67</v>
      </c>
      <c r="L4" s="39">
        <v>64</v>
      </c>
      <c r="M4" s="42" t="s">
        <v>138</v>
      </c>
      <c r="N4" s="42" t="s">
        <v>147</v>
      </c>
      <c r="O4"/>
      <c r="P4"/>
    </row>
    <row r="5" spans="1:16" ht="27" customHeight="1">
      <c r="A5" s="7">
        <v>1004</v>
      </c>
      <c r="B5" s="7" t="s">
        <v>44</v>
      </c>
      <c r="C5" s="7">
        <v>74</v>
      </c>
      <c r="D5" s="7">
        <v>55</v>
      </c>
      <c r="E5" s="7">
        <v>46</v>
      </c>
      <c r="F5" s="10">
        <v>43641</v>
      </c>
      <c r="G5" s="31">
        <f t="shared" si="0"/>
        <v>175</v>
      </c>
      <c r="H5" s="31" t="str">
        <f t="shared" si="1"/>
        <v>C</v>
      </c>
      <c r="I5" s="26" t="str">
        <v>Student 10</v>
      </c>
      <c r="J5" s="26">
        <v>98</v>
      </c>
      <c r="K5" s="26">
        <v>54</v>
      </c>
      <c r="L5" s="39">
        <v>58</v>
      </c>
      <c r="M5" s="43" t="str">
        <f>UPPER(B2)</f>
        <v>STUDENT 1</v>
      </c>
      <c r="N5" s="43" t="str">
        <f>LOWER(B2)</f>
        <v>student 1</v>
      </c>
      <c r="O5"/>
      <c r="P5"/>
    </row>
    <row r="6" spans="1:16" ht="27" customHeight="1">
      <c r="A6" s="7">
        <v>1005</v>
      </c>
      <c r="B6" s="7" t="s">
        <v>45</v>
      </c>
      <c r="C6" s="7">
        <v>68</v>
      </c>
      <c r="D6" s="7">
        <v>74</v>
      </c>
      <c r="E6" s="7">
        <v>84</v>
      </c>
      <c r="F6" s="10">
        <v>43821</v>
      </c>
      <c r="G6" s="31">
        <f t="shared" si="0"/>
        <v>226</v>
      </c>
      <c r="H6" s="31" t="str">
        <f t="shared" si="1"/>
        <v>B</v>
      </c>
      <c r="I6" s="26" t="str">
        <v>Student 12</v>
      </c>
      <c r="J6" s="26">
        <v>85</v>
      </c>
      <c r="K6" s="26">
        <v>89</v>
      </c>
      <c r="L6" s="26">
        <v>79</v>
      </c>
      <c r="O6"/>
      <c r="P6"/>
    </row>
    <row r="7" spans="1:16" ht="27" customHeight="1">
      <c r="A7" s="7">
        <v>1006</v>
      </c>
      <c r="B7" s="7" t="s">
        <v>46</v>
      </c>
      <c r="C7" s="7">
        <v>80</v>
      </c>
      <c r="D7" s="7">
        <v>70</v>
      </c>
      <c r="E7" s="7">
        <v>65</v>
      </c>
      <c r="F7" s="10">
        <v>44001</v>
      </c>
      <c r="G7" s="31">
        <f t="shared" si="0"/>
        <v>215</v>
      </c>
      <c r="H7" s="31" t="str">
        <f t="shared" si="1"/>
        <v>B</v>
      </c>
      <c r="I7" s="26" t="str">
        <v>Student 13</v>
      </c>
      <c r="J7" s="26">
        <v>98</v>
      </c>
      <c r="K7" s="26">
        <v>90</v>
      </c>
      <c r="L7" s="39">
        <v>97</v>
      </c>
      <c r="M7" s="35" t="s">
        <v>148</v>
      </c>
      <c r="O7"/>
      <c r="P7"/>
    </row>
    <row r="8" spans="1:16" ht="27" customHeight="1">
      <c r="A8" s="7">
        <v>1007</v>
      </c>
      <c r="B8" s="7" t="s">
        <v>47</v>
      </c>
      <c r="C8" s="7">
        <v>75</v>
      </c>
      <c r="D8" s="7">
        <v>47</v>
      </c>
      <c r="E8" s="7">
        <v>78</v>
      </c>
      <c r="F8" s="10">
        <v>44181</v>
      </c>
      <c r="G8" s="31">
        <f t="shared" si="0"/>
        <v>200</v>
      </c>
      <c r="H8" s="31" t="str">
        <f t="shared" si="1"/>
        <v>B</v>
      </c>
      <c r="I8" s="26" t="str">
        <v>Student 14</v>
      </c>
      <c r="J8" s="26">
        <v>93</v>
      </c>
      <c r="K8" s="26">
        <v>40</v>
      </c>
      <c r="L8" s="39">
        <v>44</v>
      </c>
      <c r="M8" s="41" t="str">
        <f>LEFT(B3,3)</f>
        <v>Stu</v>
      </c>
      <c r="O8"/>
      <c r="P8"/>
    </row>
    <row r="9" spans="1:16" ht="27" customHeight="1">
      <c r="A9" s="7">
        <v>1008</v>
      </c>
      <c r="B9" s="7" t="s">
        <v>48</v>
      </c>
      <c r="C9" s="7">
        <v>94</v>
      </c>
      <c r="D9" s="7">
        <v>67</v>
      </c>
      <c r="E9" s="7">
        <v>64</v>
      </c>
      <c r="F9" s="10">
        <v>44361</v>
      </c>
      <c r="G9" s="31">
        <f t="shared" si="0"/>
        <v>225</v>
      </c>
      <c r="H9" s="31" t="str">
        <f t="shared" si="1"/>
        <v>B</v>
      </c>
      <c r="I9" s="26" t="str">
        <v>Student 16</v>
      </c>
      <c r="J9" s="26">
        <v>98</v>
      </c>
      <c r="K9" s="26">
        <v>77</v>
      </c>
      <c r="L9" s="26">
        <v>60</v>
      </c>
      <c r="O9"/>
      <c r="P9"/>
    </row>
    <row r="10" spans="1:16" ht="27" customHeight="1">
      <c r="A10" s="7">
        <v>1009</v>
      </c>
      <c r="B10" s="7" t="s">
        <v>49</v>
      </c>
      <c r="C10" s="7">
        <v>41</v>
      </c>
      <c r="D10" s="7">
        <v>75</v>
      </c>
      <c r="E10" s="7">
        <v>56</v>
      </c>
      <c r="F10" s="10">
        <v>44541</v>
      </c>
      <c r="G10" s="31">
        <f t="shared" si="0"/>
        <v>172</v>
      </c>
      <c r="H10" s="31" t="str">
        <f t="shared" si="1"/>
        <v>C</v>
      </c>
      <c r="I10" s="26" t="str">
        <v>Student 18</v>
      </c>
      <c r="J10" s="26">
        <v>82</v>
      </c>
      <c r="K10" s="26">
        <v>48</v>
      </c>
      <c r="L10" s="26">
        <v>79</v>
      </c>
      <c r="O10"/>
      <c r="P10"/>
    </row>
    <row r="11" spans="1:16" ht="27" customHeight="1">
      <c r="A11" s="7">
        <v>1010</v>
      </c>
      <c r="B11" s="7" t="s">
        <v>50</v>
      </c>
      <c r="C11" s="7">
        <v>98</v>
      </c>
      <c r="D11" s="7">
        <v>54</v>
      </c>
      <c r="E11" s="7">
        <v>58</v>
      </c>
      <c r="F11" s="10">
        <v>44721</v>
      </c>
      <c r="G11" s="31">
        <f t="shared" si="0"/>
        <v>210</v>
      </c>
      <c r="H11" s="31" t="str">
        <f t="shared" si="1"/>
        <v>B</v>
      </c>
      <c r="I11" s="26" t="str">
        <v>Student 19</v>
      </c>
      <c r="J11" s="26">
        <v>90</v>
      </c>
      <c r="K11" s="26">
        <v>78</v>
      </c>
      <c r="L11" s="26">
        <v>60</v>
      </c>
      <c r="O11"/>
      <c r="P11"/>
    </row>
    <row r="12" spans="1:16" ht="27" customHeight="1">
      <c r="A12" s="7">
        <v>1011</v>
      </c>
      <c r="B12" s="7" t="s">
        <v>51</v>
      </c>
      <c r="C12" s="7">
        <v>73</v>
      </c>
      <c r="D12" s="7">
        <v>79</v>
      </c>
      <c r="E12" s="7">
        <v>53</v>
      </c>
      <c r="F12" s="10">
        <v>44901</v>
      </c>
      <c r="G12" s="31">
        <f t="shared" si="0"/>
        <v>205</v>
      </c>
      <c r="H12" s="31" t="str">
        <f t="shared" si="1"/>
        <v>B</v>
      </c>
      <c r="I12" s="26" t="str">
        <v>Student 20</v>
      </c>
      <c r="J12" s="26">
        <v>83</v>
      </c>
      <c r="K12" s="26">
        <v>92</v>
      </c>
      <c r="L12" s="26">
        <v>55</v>
      </c>
      <c r="O12"/>
      <c r="P12"/>
    </row>
    <row r="13" spans="1:16" ht="27" customHeight="1">
      <c r="A13" s="7">
        <v>1012</v>
      </c>
      <c r="B13" s="7" t="s">
        <v>52</v>
      </c>
      <c r="C13" s="7">
        <v>85</v>
      </c>
      <c r="D13" s="7">
        <v>89</v>
      </c>
      <c r="E13" s="7">
        <v>79</v>
      </c>
      <c r="F13" s="10">
        <v>45081</v>
      </c>
      <c r="G13" s="31">
        <f t="shared" si="0"/>
        <v>253</v>
      </c>
      <c r="H13" s="31" t="str">
        <f t="shared" si="1"/>
        <v>A</v>
      </c>
      <c r="I13" s="26"/>
      <c r="J13" s="26"/>
      <c r="K13" s="26"/>
      <c r="L13" s="26"/>
      <c r="O13"/>
      <c r="P13"/>
    </row>
    <row r="14" spans="1:16" ht="27" customHeight="1">
      <c r="A14" s="7">
        <v>1013</v>
      </c>
      <c r="B14" s="7" t="s">
        <v>53</v>
      </c>
      <c r="C14" s="7">
        <v>98</v>
      </c>
      <c r="D14" s="7">
        <v>90</v>
      </c>
      <c r="E14" s="7">
        <v>97</v>
      </c>
      <c r="F14" s="10">
        <v>45261</v>
      </c>
      <c r="G14" s="31">
        <f t="shared" si="0"/>
        <v>285</v>
      </c>
      <c r="H14" s="31" t="str">
        <f t="shared" si="1"/>
        <v>A</v>
      </c>
      <c r="I14" s="26"/>
      <c r="J14" s="26"/>
      <c r="K14" s="26"/>
      <c r="L14" s="26"/>
      <c r="O14"/>
      <c r="P14"/>
    </row>
    <row r="15" spans="1:16" ht="27" customHeight="1">
      <c r="A15" s="7">
        <v>1014</v>
      </c>
      <c r="B15" s="7" t="s">
        <v>54</v>
      </c>
      <c r="C15" s="7">
        <v>93</v>
      </c>
      <c r="D15" s="7">
        <v>40</v>
      </c>
      <c r="E15" s="7">
        <v>44</v>
      </c>
      <c r="F15" s="10">
        <v>45441</v>
      </c>
      <c r="G15" s="31">
        <f t="shared" si="0"/>
        <v>177</v>
      </c>
      <c r="H15" s="31" t="str">
        <f t="shared" si="1"/>
        <v>C</v>
      </c>
      <c r="I15" s="26"/>
      <c r="J15" s="26"/>
      <c r="K15" s="26"/>
      <c r="L15" s="26"/>
      <c r="O15"/>
      <c r="P15"/>
    </row>
    <row r="16" spans="1:16" ht="27" customHeight="1">
      <c r="A16" s="7">
        <v>1015</v>
      </c>
      <c r="B16" s="7" t="s">
        <v>55</v>
      </c>
      <c r="C16" s="7">
        <v>70</v>
      </c>
      <c r="D16" s="7">
        <v>51</v>
      </c>
      <c r="E16" s="7">
        <v>75</v>
      </c>
      <c r="F16" s="10">
        <v>45621</v>
      </c>
      <c r="G16" s="31">
        <f t="shared" si="0"/>
        <v>196</v>
      </c>
      <c r="H16" s="31" t="str">
        <f t="shared" si="1"/>
        <v>B</v>
      </c>
      <c r="I16" s="26"/>
      <c r="J16" s="26"/>
      <c r="K16" s="26"/>
      <c r="L16" s="26"/>
      <c r="O16"/>
      <c r="P16"/>
    </row>
    <row r="17" spans="1:16" ht="27" customHeight="1">
      <c r="A17" s="7">
        <v>1016</v>
      </c>
      <c r="B17" s="7" t="s">
        <v>56</v>
      </c>
      <c r="C17" s="7">
        <v>98</v>
      </c>
      <c r="D17" s="7">
        <v>77</v>
      </c>
      <c r="E17" s="7">
        <v>60</v>
      </c>
      <c r="F17" s="10">
        <v>45801</v>
      </c>
      <c r="G17" s="31">
        <f t="shared" si="0"/>
        <v>235</v>
      </c>
      <c r="H17" s="31" t="str">
        <f t="shared" si="1"/>
        <v>B</v>
      </c>
      <c r="I17" s="26"/>
      <c r="J17" s="26"/>
      <c r="K17" s="26"/>
      <c r="L17" s="26"/>
      <c r="O17"/>
      <c r="P17"/>
    </row>
    <row r="18" spans="1:16" ht="27" customHeight="1">
      <c r="A18" s="7">
        <v>1017</v>
      </c>
      <c r="B18" s="7" t="s">
        <v>57</v>
      </c>
      <c r="C18" s="7">
        <v>66</v>
      </c>
      <c r="D18" s="7">
        <v>59</v>
      </c>
      <c r="E18" s="7">
        <v>40</v>
      </c>
      <c r="F18" s="10">
        <v>45981</v>
      </c>
      <c r="G18" s="31">
        <f t="shared" si="0"/>
        <v>165</v>
      </c>
      <c r="H18" s="31" t="str">
        <f t="shared" si="1"/>
        <v>C</v>
      </c>
      <c r="I18" s="27"/>
      <c r="J18" s="27"/>
      <c r="K18" s="27"/>
      <c r="L18" s="27"/>
      <c r="O18"/>
      <c r="P18"/>
    </row>
    <row r="19" spans="1:16" ht="27" customHeight="1">
      <c r="A19" s="7">
        <v>1018</v>
      </c>
      <c r="B19" s="7" t="s">
        <v>58</v>
      </c>
      <c r="C19" s="7">
        <v>82</v>
      </c>
      <c r="D19" s="7">
        <v>48</v>
      </c>
      <c r="E19" s="7">
        <v>79</v>
      </c>
      <c r="F19" s="10">
        <v>46161</v>
      </c>
      <c r="G19" s="31">
        <f t="shared" si="0"/>
        <v>209</v>
      </c>
      <c r="H19" s="31" t="str">
        <f t="shared" si="1"/>
        <v>B</v>
      </c>
      <c r="I19" s="26"/>
      <c r="J19" s="26"/>
      <c r="K19" s="26"/>
      <c r="L19" s="26"/>
      <c r="O19"/>
      <c r="P19"/>
    </row>
    <row r="20" spans="1:16" ht="27" customHeight="1">
      <c r="A20" s="7">
        <v>1019</v>
      </c>
      <c r="B20" s="7" t="s">
        <v>59</v>
      </c>
      <c r="C20" s="7">
        <v>90</v>
      </c>
      <c r="D20" s="7">
        <v>78</v>
      </c>
      <c r="E20" s="7">
        <v>60</v>
      </c>
      <c r="F20" s="10">
        <v>46341</v>
      </c>
      <c r="G20" s="31">
        <f t="shared" si="0"/>
        <v>228</v>
      </c>
      <c r="H20" s="31" t="str">
        <f t="shared" si="1"/>
        <v>B</v>
      </c>
      <c r="I20" s="26"/>
      <c r="J20" s="26"/>
      <c r="K20" s="26"/>
      <c r="L20" s="26"/>
      <c r="O20"/>
      <c r="P20"/>
    </row>
    <row r="21" spans="1:16" ht="27" customHeight="1">
      <c r="A21" s="7">
        <v>1020</v>
      </c>
      <c r="B21" s="7" t="s">
        <v>60</v>
      </c>
      <c r="C21" s="11">
        <v>83</v>
      </c>
      <c r="D21" s="11">
        <v>92</v>
      </c>
      <c r="E21" s="11">
        <v>55</v>
      </c>
      <c r="F21" s="10">
        <v>46521</v>
      </c>
      <c r="G21" s="31">
        <f t="shared" si="0"/>
        <v>230</v>
      </c>
      <c r="H21" s="31" t="str">
        <f t="shared" si="1"/>
        <v>B</v>
      </c>
      <c r="I21" s="26"/>
      <c r="J21" s="26"/>
      <c r="K21" s="26"/>
      <c r="L21" s="26"/>
      <c r="O21"/>
      <c r="P21"/>
    </row>
    <row r="22" spans="1:16" ht="27" customHeight="1">
      <c r="C22" s="54">
        <f>COUNTIFS(C2:C21,"&gt;60",D2:D21,"&gt;60",E2:E21,"&gt;60")</f>
        <v>6</v>
      </c>
      <c r="D22" s="54"/>
      <c r="E22" s="54"/>
      <c r="O22"/>
      <c r="P22"/>
    </row>
  </sheetData>
  <mergeCells count="4">
    <mergeCell ref="C22:E22"/>
    <mergeCell ref="I1:L1"/>
    <mergeCell ref="M1:N1"/>
    <mergeCell ref="M2:N2"/>
  </mergeCells>
  <pageMargins left="0.75" right="0.75" top="1" bottom="1"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1"/>
  <sheetViews>
    <sheetView workbookViewId="0">
      <selection activeCell="L5" sqref="L5"/>
    </sheetView>
  </sheetViews>
  <sheetFormatPr defaultColWidth="14.109375" defaultRowHeight="26.25" customHeight="1"/>
  <cols>
    <col min="1" max="4" width="14.109375" style="6"/>
    <col min="5" max="5" width="14.109375" style="14"/>
    <col min="6" max="6" width="19" style="6" bestFit="1" customWidth="1"/>
    <col min="7" max="7" width="14.44140625" style="6" bestFit="1" customWidth="1"/>
    <col min="8" max="26" width="14.109375" style="6"/>
  </cols>
  <sheetData>
    <row r="1" spans="1:13" ht="26.25" customHeight="1">
      <c r="A1" s="44" t="s">
        <v>126</v>
      </c>
      <c r="B1" s="44" t="s">
        <v>127</v>
      </c>
      <c r="C1" s="44" t="s">
        <v>128</v>
      </c>
      <c r="D1" s="44" t="s">
        <v>129</v>
      </c>
      <c r="E1" s="45" t="s">
        <v>130</v>
      </c>
      <c r="F1" s="46" t="s">
        <v>131</v>
      </c>
      <c r="G1" s="47" t="s">
        <v>132</v>
      </c>
      <c r="H1" s="48" t="s">
        <v>133</v>
      </c>
      <c r="I1" s="40" t="s">
        <v>134</v>
      </c>
      <c r="J1" s="40" t="s">
        <v>135</v>
      </c>
      <c r="K1" s="40" t="s">
        <v>136</v>
      </c>
      <c r="L1"/>
      <c r="M1"/>
    </row>
    <row r="2" spans="1:13" ht="26.25" customHeight="1">
      <c r="A2" s="8">
        <v>2001</v>
      </c>
      <c r="B2" s="8" t="s">
        <v>61</v>
      </c>
      <c r="C2" s="8" t="s">
        <v>62</v>
      </c>
      <c r="D2" s="8" t="s">
        <v>63</v>
      </c>
      <c r="E2" s="13">
        <v>7048</v>
      </c>
      <c r="F2" s="12">
        <v>44927</v>
      </c>
      <c r="G2" s="26">
        <v>2010</v>
      </c>
      <c r="H2" s="36">
        <f>VLOOKUP(G2,A2:F21,5,FALSE)</f>
        <v>35185</v>
      </c>
      <c r="I2" s="32">
        <f>YEAR(F2)</f>
        <v>2023</v>
      </c>
      <c r="J2" s="32">
        <f>DAY(F2)</f>
        <v>1</v>
      </c>
      <c r="K2" s="32">
        <f>MONTH(F2)</f>
        <v>1</v>
      </c>
      <c r="L2"/>
      <c r="M2"/>
    </row>
    <row r="3" spans="1:13" ht="26.25" customHeight="1">
      <c r="A3" s="8">
        <v>2002</v>
      </c>
      <c r="B3" s="8" t="s">
        <v>64</v>
      </c>
      <c r="C3" s="8" t="s">
        <v>65</v>
      </c>
      <c r="D3" s="8" t="s">
        <v>66</v>
      </c>
      <c r="E3" s="13">
        <v>17428</v>
      </c>
      <c r="F3" s="9">
        <v>44942</v>
      </c>
      <c r="G3" s="37"/>
      <c r="H3" s="37"/>
      <c r="I3" s="32">
        <f t="shared" ref="I3:I21" si="0">YEAR(F3)</f>
        <v>2023</v>
      </c>
      <c r="J3" s="32">
        <f t="shared" ref="J3:J21" si="1">DAY(F3)</f>
        <v>16</v>
      </c>
      <c r="K3" s="32">
        <f t="shared" ref="K3:K21" si="2">MONTH(F3)</f>
        <v>1</v>
      </c>
      <c r="L3"/>
      <c r="M3"/>
    </row>
    <row r="4" spans="1:13" ht="26.25" customHeight="1">
      <c r="A4" s="8">
        <v>2003</v>
      </c>
      <c r="B4" s="8" t="s">
        <v>67</v>
      </c>
      <c r="C4" s="8" t="s">
        <v>62</v>
      </c>
      <c r="D4" s="8" t="s">
        <v>68</v>
      </c>
      <c r="E4" s="13">
        <v>23672</v>
      </c>
      <c r="F4" s="12">
        <v>44957</v>
      </c>
      <c r="G4" s="61" t="s">
        <v>137</v>
      </c>
      <c r="H4" s="62"/>
      <c r="I4" s="32">
        <f t="shared" si="0"/>
        <v>2023</v>
      </c>
      <c r="J4" s="32">
        <f t="shared" si="1"/>
        <v>31</v>
      </c>
      <c r="K4" s="32">
        <f t="shared" si="2"/>
        <v>1</v>
      </c>
      <c r="L4"/>
      <c r="M4"/>
    </row>
    <row r="5" spans="1:13" ht="26.25" customHeight="1">
      <c r="A5" s="8">
        <v>2004</v>
      </c>
      <c r="B5" s="8" t="s">
        <v>64</v>
      </c>
      <c r="C5" s="8" t="s">
        <v>69</v>
      </c>
      <c r="D5" s="8" t="s">
        <v>70</v>
      </c>
      <c r="E5" s="13">
        <v>5264</v>
      </c>
      <c r="F5" s="12">
        <v>44972</v>
      </c>
      <c r="G5" s="63">
        <f ca="1">DATEDIF(F2:F15,TODAY(),"Y")</f>
        <v>2</v>
      </c>
      <c r="H5" s="64"/>
      <c r="I5" s="32">
        <f t="shared" si="0"/>
        <v>2023</v>
      </c>
      <c r="J5" s="32">
        <f t="shared" si="1"/>
        <v>15</v>
      </c>
      <c r="K5" s="32">
        <f t="shared" si="2"/>
        <v>2</v>
      </c>
      <c r="L5"/>
      <c r="M5"/>
    </row>
    <row r="6" spans="1:13" ht="26.25" customHeight="1">
      <c r="A6" s="8">
        <v>2005</v>
      </c>
      <c r="B6" s="8" t="s">
        <v>61</v>
      </c>
      <c r="C6" s="8" t="s">
        <v>71</v>
      </c>
      <c r="D6" s="8" t="s">
        <v>72</v>
      </c>
      <c r="E6" s="13">
        <v>43388</v>
      </c>
      <c r="F6" s="9">
        <v>44987</v>
      </c>
      <c r="G6" s="37"/>
      <c r="H6" s="37"/>
      <c r="I6" s="32">
        <f t="shared" si="0"/>
        <v>2023</v>
      </c>
      <c r="J6" s="32">
        <f t="shared" si="1"/>
        <v>2</v>
      </c>
      <c r="K6" s="32">
        <f t="shared" si="2"/>
        <v>3</v>
      </c>
      <c r="L6"/>
      <c r="M6"/>
    </row>
    <row r="7" spans="1:13" ht="26.25" customHeight="1">
      <c r="A7" s="8">
        <v>2006</v>
      </c>
      <c r="B7" s="8" t="s">
        <v>67</v>
      </c>
      <c r="C7" s="8" t="s">
        <v>71</v>
      </c>
      <c r="D7" s="8" t="s">
        <v>73</v>
      </c>
      <c r="E7" s="13">
        <v>19757</v>
      </c>
      <c r="F7" s="9">
        <v>45002</v>
      </c>
      <c r="G7" s="37"/>
      <c r="H7" s="37"/>
      <c r="I7" s="32">
        <f t="shared" si="0"/>
        <v>2023</v>
      </c>
      <c r="J7" s="32">
        <f t="shared" si="1"/>
        <v>17</v>
      </c>
      <c r="K7" s="32">
        <f t="shared" si="2"/>
        <v>3</v>
      </c>
      <c r="L7"/>
      <c r="M7"/>
    </row>
    <row r="8" spans="1:13" ht="26.25" customHeight="1">
      <c r="A8" s="8">
        <v>2007</v>
      </c>
      <c r="B8" s="8" t="s">
        <v>67</v>
      </c>
      <c r="C8" s="8" t="s">
        <v>69</v>
      </c>
      <c r="D8" s="8" t="s">
        <v>74</v>
      </c>
      <c r="E8" s="13">
        <v>32058</v>
      </c>
      <c r="F8" s="9">
        <v>45017</v>
      </c>
      <c r="G8" s="37"/>
      <c r="H8" s="37"/>
      <c r="I8" s="32">
        <f t="shared" si="0"/>
        <v>2023</v>
      </c>
      <c r="J8" s="32">
        <f t="shared" si="1"/>
        <v>1</v>
      </c>
      <c r="K8" s="32">
        <f t="shared" si="2"/>
        <v>4</v>
      </c>
      <c r="L8"/>
      <c r="M8"/>
    </row>
    <row r="9" spans="1:13" ht="26.25" customHeight="1">
      <c r="A9" s="8">
        <v>2008</v>
      </c>
      <c r="B9" s="8" t="s">
        <v>61</v>
      </c>
      <c r="C9" s="8" t="s">
        <v>69</v>
      </c>
      <c r="D9" s="8" t="s">
        <v>75</v>
      </c>
      <c r="E9" s="13">
        <v>46429</v>
      </c>
      <c r="F9" s="9">
        <v>45032</v>
      </c>
      <c r="G9" s="37"/>
      <c r="H9" s="37"/>
      <c r="I9" s="32">
        <f t="shared" si="0"/>
        <v>2023</v>
      </c>
      <c r="J9" s="32">
        <f t="shared" si="1"/>
        <v>16</v>
      </c>
      <c r="K9" s="32">
        <f t="shared" si="2"/>
        <v>4</v>
      </c>
      <c r="L9"/>
      <c r="M9"/>
    </row>
    <row r="10" spans="1:13" ht="26.25" customHeight="1">
      <c r="A10" s="8">
        <v>2009</v>
      </c>
      <c r="B10" s="8" t="s">
        <v>64</v>
      </c>
      <c r="C10" s="8" t="s">
        <v>69</v>
      </c>
      <c r="D10" s="8" t="s">
        <v>76</v>
      </c>
      <c r="E10" s="13">
        <v>19746</v>
      </c>
      <c r="F10" s="9">
        <v>45047</v>
      </c>
      <c r="G10" s="37"/>
      <c r="H10" s="37"/>
      <c r="I10" s="32">
        <f t="shared" si="0"/>
        <v>2023</v>
      </c>
      <c r="J10" s="32">
        <f t="shared" si="1"/>
        <v>1</v>
      </c>
      <c r="K10" s="32">
        <f t="shared" si="2"/>
        <v>5</v>
      </c>
      <c r="L10"/>
      <c r="M10"/>
    </row>
    <row r="11" spans="1:13" ht="26.25" customHeight="1">
      <c r="A11" s="8">
        <v>2010</v>
      </c>
      <c r="B11" s="8" t="s">
        <v>61</v>
      </c>
      <c r="C11" s="8" t="s">
        <v>62</v>
      </c>
      <c r="D11" s="8" t="s">
        <v>77</v>
      </c>
      <c r="E11" s="13">
        <v>35185</v>
      </c>
      <c r="F11" s="9">
        <v>45062</v>
      </c>
      <c r="G11" s="37"/>
      <c r="H11" s="37"/>
      <c r="I11" s="32">
        <f t="shared" si="0"/>
        <v>2023</v>
      </c>
      <c r="J11" s="32">
        <f t="shared" si="1"/>
        <v>16</v>
      </c>
      <c r="K11" s="32">
        <f t="shared" si="2"/>
        <v>5</v>
      </c>
      <c r="L11"/>
      <c r="M11"/>
    </row>
    <row r="12" spans="1:13" ht="26.25" customHeight="1">
      <c r="A12" s="8">
        <v>2011</v>
      </c>
      <c r="B12" s="8" t="s">
        <v>61</v>
      </c>
      <c r="C12" s="8" t="s">
        <v>69</v>
      </c>
      <c r="D12" s="8" t="s">
        <v>78</v>
      </c>
      <c r="E12" s="13">
        <v>33920</v>
      </c>
      <c r="F12" s="9">
        <v>45077</v>
      </c>
      <c r="G12" s="37"/>
      <c r="H12" s="37"/>
      <c r="I12" s="32">
        <f t="shared" si="0"/>
        <v>2023</v>
      </c>
      <c r="J12" s="32">
        <f t="shared" si="1"/>
        <v>31</v>
      </c>
      <c r="K12" s="32">
        <f t="shared" si="2"/>
        <v>5</v>
      </c>
      <c r="L12"/>
      <c r="M12"/>
    </row>
    <row r="13" spans="1:13" ht="26.25" customHeight="1">
      <c r="A13" s="8">
        <v>2012</v>
      </c>
      <c r="B13" s="8" t="s">
        <v>79</v>
      </c>
      <c r="C13" s="8" t="s">
        <v>71</v>
      </c>
      <c r="D13" s="8" t="s">
        <v>80</v>
      </c>
      <c r="E13" s="13">
        <v>35611</v>
      </c>
      <c r="F13" s="9">
        <v>45092</v>
      </c>
      <c r="G13" s="37"/>
      <c r="H13" s="37"/>
      <c r="I13" s="32">
        <f t="shared" si="0"/>
        <v>2023</v>
      </c>
      <c r="J13" s="32">
        <f t="shared" si="1"/>
        <v>15</v>
      </c>
      <c r="K13" s="32">
        <f t="shared" si="2"/>
        <v>6</v>
      </c>
      <c r="L13"/>
      <c r="M13"/>
    </row>
    <row r="14" spans="1:13" ht="26.25" customHeight="1">
      <c r="A14" s="8">
        <v>2013</v>
      </c>
      <c r="B14" s="8" t="s">
        <v>81</v>
      </c>
      <c r="C14" s="8" t="s">
        <v>69</v>
      </c>
      <c r="D14" s="8" t="s">
        <v>82</v>
      </c>
      <c r="E14" s="13">
        <v>15560</v>
      </c>
      <c r="F14" s="9">
        <v>45107</v>
      </c>
      <c r="G14" s="37"/>
      <c r="H14" s="37"/>
      <c r="I14" s="32">
        <f t="shared" si="0"/>
        <v>2023</v>
      </c>
      <c r="J14" s="32">
        <f t="shared" si="1"/>
        <v>30</v>
      </c>
      <c r="K14" s="32">
        <f t="shared" si="2"/>
        <v>6</v>
      </c>
      <c r="L14"/>
      <c r="M14"/>
    </row>
    <row r="15" spans="1:13" ht="26.25" customHeight="1">
      <c r="A15" s="8">
        <v>2014</v>
      </c>
      <c r="B15" s="8" t="s">
        <v>81</v>
      </c>
      <c r="C15" s="8" t="s">
        <v>62</v>
      </c>
      <c r="D15" s="8" t="s">
        <v>83</v>
      </c>
      <c r="E15" s="13">
        <v>7283</v>
      </c>
      <c r="F15" s="9">
        <v>45122</v>
      </c>
      <c r="G15" s="37"/>
      <c r="H15" s="37"/>
      <c r="I15" s="32">
        <f t="shared" si="0"/>
        <v>2023</v>
      </c>
      <c r="J15" s="32">
        <f t="shared" si="1"/>
        <v>15</v>
      </c>
      <c r="K15" s="32">
        <f t="shared" si="2"/>
        <v>7</v>
      </c>
      <c r="L15"/>
      <c r="M15"/>
    </row>
    <row r="16" spans="1:13" ht="26.25" customHeight="1">
      <c r="A16" s="8">
        <v>2015</v>
      </c>
      <c r="B16" s="8" t="s">
        <v>81</v>
      </c>
      <c r="C16" s="8" t="s">
        <v>69</v>
      </c>
      <c r="D16" s="8" t="s">
        <v>84</v>
      </c>
      <c r="E16" s="13">
        <v>15678</v>
      </c>
      <c r="F16" s="9">
        <v>45137</v>
      </c>
      <c r="G16" s="37"/>
      <c r="H16" s="37"/>
      <c r="I16" s="32">
        <f t="shared" si="0"/>
        <v>2023</v>
      </c>
      <c r="J16" s="32">
        <f t="shared" si="1"/>
        <v>30</v>
      </c>
      <c r="K16" s="32">
        <f t="shared" si="2"/>
        <v>7</v>
      </c>
      <c r="L16"/>
      <c r="M16"/>
    </row>
    <row r="17" spans="1:13" ht="26.25" customHeight="1">
      <c r="A17" s="8">
        <v>2016</v>
      </c>
      <c r="B17" s="8" t="s">
        <v>67</v>
      </c>
      <c r="C17" s="8" t="s">
        <v>69</v>
      </c>
      <c r="D17" s="8" t="s">
        <v>85</v>
      </c>
      <c r="E17" s="13">
        <v>5277</v>
      </c>
      <c r="F17" s="9">
        <v>45152</v>
      </c>
      <c r="G17" s="37"/>
      <c r="H17" s="37"/>
      <c r="I17" s="32">
        <f t="shared" si="0"/>
        <v>2023</v>
      </c>
      <c r="J17" s="32">
        <f t="shared" si="1"/>
        <v>14</v>
      </c>
      <c r="K17" s="32">
        <f t="shared" si="2"/>
        <v>8</v>
      </c>
      <c r="L17"/>
      <c r="M17"/>
    </row>
    <row r="18" spans="1:13" ht="26.25" customHeight="1">
      <c r="A18" s="8">
        <v>2017</v>
      </c>
      <c r="B18" s="8" t="s">
        <v>79</v>
      </c>
      <c r="C18" s="8" t="s">
        <v>71</v>
      </c>
      <c r="D18" s="8" t="s">
        <v>86</v>
      </c>
      <c r="E18" s="13">
        <v>41871</v>
      </c>
      <c r="F18" s="9">
        <v>45167</v>
      </c>
      <c r="G18" s="37"/>
      <c r="H18" s="37"/>
      <c r="I18" s="32">
        <f t="shared" si="0"/>
        <v>2023</v>
      </c>
      <c r="J18" s="32">
        <f t="shared" si="1"/>
        <v>29</v>
      </c>
      <c r="K18" s="32">
        <f t="shared" si="2"/>
        <v>8</v>
      </c>
      <c r="L18"/>
      <c r="M18"/>
    </row>
    <row r="19" spans="1:13" ht="26.25" customHeight="1">
      <c r="A19" s="8">
        <v>2018</v>
      </c>
      <c r="B19" s="8" t="s">
        <v>79</v>
      </c>
      <c r="C19" s="8" t="s">
        <v>65</v>
      </c>
      <c r="D19" s="8" t="s">
        <v>87</v>
      </c>
      <c r="E19" s="13">
        <v>38161</v>
      </c>
      <c r="F19" s="9">
        <v>45182</v>
      </c>
      <c r="G19" s="37"/>
      <c r="H19" s="37"/>
      <c r="I19" s="32">
        <f t="shared" si="0"/>
        <v>2023</v>
      </c>
      <c r="J19" s="32">
        <f t="shared" si="1"/>
        <v>13</v>
      </c>
      <c r="K19" s="32">
        <f t="shared" si="2"/>
        <v>9</v>
      </c>
      <c r="L19"/>
      <c r="M19"/>
    </row>
    <row r="20" spans="1:13" ht="26.25" customHeight="1">
      <c r="A20" s="8">
        <v>2019</v>
      </c>
      <c r="B20" s="8" t="s">
        <v>67</v>
      </c>
      <c r="C20" s="8" t="s">
        <v>65</v>
      </c>
      <c r="D20" s="8" t="s">
        <v>88</v>
      </c>
      <c r="E20" s="13">
        <v>30436</v>
      </c>
      <c r="F20" s="9">
        <v>45197</v>
      </c>
      <c r="G20" s="37"/>
      <c r="H20" s="37"/>
      <c r="I20" s="32">
        <f t="shared" si="0"/>
        <v>2023</v>
      </c>
      <c r="J20" s="32">
        <f t="shared" si="1"/>
        <v>28</v>
      </c>
      <c r="K20" s="32">
        <f t="shared" si="2"/>
        <v>9</v>
      </c>
      <c r="L20"/>
      <c r="M20"/>
    </row>
    <row r="21" spans="1:13" ht="26.25" customHeight="1">
      <c r="A21" s="8">
        <v>2020</v>
      </c>
      <c r="B21" s="8" t="s">
        <v>64</v>
      </c>
      <c r="C21" s="8" t="s">
        <v>65</v>
      </c>
      <c r="D21" s="8" t="s">
        <v>89</v>
      </c>
      <c r="E21" s="13">
        <v>33953</v>
      </c>
      <c r="F21" s="9">
        <v>45212</v>
      </c>
      <c r="G21" s="37"/>
      <c r="H21" s="37"/>
      <c r="I21" s="32">
        <f t="shared" si="0"/>
        <v>2023</v>
      </c>
      <c r="J21" s="32">
        <f t="shared" si="1"/>
        <v>13</v>
      </c>
      <c r="K21" s="32">
        <f t="shared" si="2"/>
        <v>10</v>
      </c>
      <c r="L21"/>
      <c r="M21"/>
    </row>
  </sheetData>
  <mergeCells count="2">
    <mergeCell ref="G4:H4"/>
    <mergeCell ref="G5:H5"/>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1"/>
  <sheetViews>
    <sheetView workbookViewId="0">
      <selection activeCell="I5" sqref="I5"/>
    </sheetView>
  </sheetViews>
  <sheetFormatPr defaultColWidth="19.33203125" defaultRowHeight="24.75" customHeight="1"/>
  <cols>
    <col min="1" max="3" width="19.33203125" style="6"/>
    <col min="4" max="4" width="19.33203125" style="21"/>
    <col min="5" max="5" width="19.33203125" style="17"/>
    <col min="6" max="6" width="19.33203125" style="6"/>
    <col min="7" max="7" width="19.33203125" style="14"/>
    <col min="8" max="8" width="19.33203125" style="6"/>
    <col min="9" max="9" width="22.33203125" style="17" bestFit="1" customWidth="1"/>
    <col min="10" max="10" width="20.5546875" style="6" bestFit="1" customWidth="1"/>
    <col min="11" max="11" width="19.33203125" style="21"/>
    <col min="12" max="25" width="19.33203125" style="6"/>
  </cols>
  <sheetData>
    <row r="1" spans="1:25" ht="24.75" customHeight="1">
      <c r="A1" s="33" t="s">
        <v>139</v>
      </c>
      <c r="B1" s="33" t="s">
        <v>116</v>
      </c>
      <c r="C1" s="33" t="s">
        <v>140</v>
      </c>
      <c r="D1" s="49" t="s">
        <v>141</v>
      </c>
      <c r="E1" s="50" t="s">
        <v>142</v>
      </c>
      <c r="F1" s="51" t="s">
        <v>143</v>
      </c>
      <c r="G1" s="52" t="s">
        <v>144</v>
      </c>
      <c r="H1" s="53" t="s">
        <v>145</v>
      </c>
      <c r="I1" s="34" t="s">
        <v>146</v>
      </c>
      <c r="J1" s="38"/>
      <c r="K1" s="6"/>
      <c r="X1"/>
      <c r="Y1"/>
    </row>
    <row r="2" spans="1:25" ht="24.75" customHeight="1">
      <c r="A2" s="15">
        <v>3001</v>
      </c>
      <c r="B2" s="15" t="s">
        <v>90</v>
      </c>
      <c r="C2" s="15" t="s">
        <v>91</v>
      </c>
      <c r="D2" s="20">
        <v>86766</v>
      </c>
      <c r="E2" s="22">
        <v>42005</v>
      </c>
      <c r="F2" s="18">
        <f>EDATE(E2,6)</f>
        <v>42186</v>
      </c>
      <c r="G2" s="16">
        <f>MONTH(E2)</f>
        <v>1</v>
      </c>
      <c r="H2" s="19">
        <f t="shared" ref="H2:H21" si="0">YEAR(E2)</f>
        <v>2015</v>
      </c>
      <c r="I2" s="16">
        <v>3002</v>
      </c>
      <c r="J2"/>
      <c r="K2" s="6"/>
      <c r="W2"/>
      <c r="X2"/>
      <c r="Y2"/>
    </row>
    <row r="3" spans="1:25" ht="24.75" customHeight="1">
      <c r="A3" s="15">
        <v>3002</v>
      </c>
      <c r="B3" s="15" t="s">
        <v>92</v>
      </c>
      <c r="C3" s="15" t="s">
        <v>91</v>
      </c>
      <c r="D3" s="20">
        <v>31943</v>
      </c>
      <c r="E3" s="23">
        <v>42255</v>
      </c>
      <c r="F3" s="18">
        <f t="shared" ref="F3:F21" si="1">EDATE(E3,6)</f>
        <v>42437</v>
      </c>
      <c r="G3" s="16">
        <f t="shared" ref="G3:G21" si="2">MONTH(E3)</f>
        <v>9</v>
      </c>
      <c r="H3" s="19">
        <f t="shared" si="0"/>
        <v>2015</v>
      </c>
      <c r="I3" s="6"/>
      <c r="K3" s="6"/>
      <c r="W3"/>
      <c r="X3"/>
      <c r="Y3"/>
    </row>
    <row r="4" spans="1:25" ht="24.75" customHeight="1">
      <c r="A4" s="15">
        <v>3003</v>
      </c>
      <c r="B4" s="15" t="s">
        <v>93</v>
      </c>
      <c r="C4" s="15" t="s">
        <v>94</v>
      </c>
      <c r="D4" s="20">
        <v>63374</v>
      </c>
      <c r="E4" s="23">
        <v>42505</v>
      </c>
      <c r="F4" s="18">
        <f t="shared" si="1"/>
        <v>42689</v>
      </c>
      <c r="G4" s="16">
        <f t="shared" si="2"/>
        <v>5</v>
      </c>
      <c r="H4" s="19">
        <f t="shared" si="0"/>
        <v>2016</v>
      </c>
      <c r="I4" s="6"/>
      <c r="K4" s="6"/>
      <c r="W4"/>
      <c r="X4"/>
      <c r="Y4"/>
    </row>
    <row r="5" spans="1:25" ht="24.75" customHeight="1">
      <c r="A5" s="15">
        <v>3004</v>
      </c>
      <c r="B5" s="15" t="s">
        <v>95</v>
      </c>
      <c r="C5" s="15" t="s">
        <v>91</v>
      </c>
      <c r="D5" s="20">
        <v>109972</v>
      </c>
      <c r="E5" s="23">
        <v>42755</v>
      </c>
      <c r="F5" s="18">
        <f t="shared" si="1"/>
        <v>42936</v>
      </c>
      <c r="G5" s="16">
        <f t="shared" si="2"/>
        <v>1</v>
      </c>
      <c r="H5" s="19">
        <f t="shared" si="0"/>
        <v>2017</v>
      </c>
      <c r="I5" s="6"/>
      <c r="K5" s="6"/>
      <c r="W5"/>
      <c r="X5"/>
      <c r="Y5"/>
    </row>
    <row r="6" spans="1:25" ht="24.75" customHeight="1">
      <c r="A6" s="15">
        <v>3005</v>
      </c>
      <c r="B6" s="15" t="s">
        <v>96</v>
      </c>
      <c r="C6" s="15" t="s">
        <v>97</v>
      </c>
      <c r="D6" s="20">
        <v>54149</v>
      </c>
      <c r="E6" s="23">
        <v>43005</v>
      </c>
      <c r="F6" s="18">
        <f t="shared" si="1"/>
        <v>43186</v>
      </c>
      <c r="G6" s="16">
        <f t="shared" si="2"/>
        <v>9</v>
      </c>
      <c r="H6" s="19">
        <f t="shared" si="0"/>
        <v>2017</v>
      </c>
      <c r="I6" s="6"/>
      <c r="K6" s="6"/>
      <c r="W6"/>
      <c r="X6"/>
      <c r="Y6"/>
    </row>
    <row r="7" spans="1:25" ht="24.75" customHeight="1">
      <c r="A7" s="15">
        <v>3006</v>
      </c>
      <c r="B7" s="15" t="s">
        <v>98</v>
      </c>
      <c r="C7" s="15" t="s">
        <v>97</v>
      </c>
      <c r="D7" s="20">
        <v>78689</v>
      </c>
      <c r="E7" s="23">
        <v>43255</v>
      </c>
      <c r="F7" s="18">
        <f t="shared" si="1"/>
        <v>43438</v>
      </c>
      <c r="G7" s="16">
        <f t="shared" si="2"/>
        <v>6</v>
      </c>
      <c r="H7" s="19">
        <f t="shared" si="0"/>
        <v>2018</v>
      </c>
      <c r="I7" s="6"/>
      <c r="K7" s="6"/>
      <c r="W7"/>
      <c r="X7"/>
      <c r="Y7"/>
    </row>
    <row r="8" spans="1:25" ht="24.75" customHeight="1">
      <c r="A8" s="15">
        <v>3007</v>
      </c>
      <c r="B8" s="15" t="s">
        <v>99</v>
      </c>
      <c r="C8" s="15" t="s">
        <v>100</v>
      </c>
      <c r="D8" s="20">
        <v>35960</v>
      </c>
      <c r="E8" s="23">
        <v>43505</v>
      </c>
      <c r="F8" s="18">
        <f t="shared" si="1"/>
        <v>43686</v>
      </c>
      <c r="G8" s="16">
        <f t="shared" si="2"/>
        <v>2</v>
      </c>
      <c r="H8" s="19">
        <f t="shared" si="0"/>
        <v>2019</v>
      </c>
      <c r="I8" s="6"/>
      <c r="K8" s="6"/>
      <c r="W8"/>
      <c r="X8"/>
      <c r="Y8"/>
    </row>
    <row r="9" spans="1:25" ht="24.75" customHeight="1">
      <c r="A9" s="15">
        <v>3008</v>
      </c>
      <c r="B9" s="15" t="s">
        <v>101</v>
      </c>
      <c r="C9" s="15" t="s">
        <v>97</v>
      </c>
      <c r="D9" s="20">
        <v>91659</v>
      </c>
      <c r="E9" s="23">
        <v>43755</v>
      </c>
      <c r="F9" s="18">
        <f t="shared" si="1"/>
        <v>43938</v>
      </c>
      <c r="G9" s="16">
        <f t="shared" si="2"/>
        <v>10</v>
      </c>
      <c r="H9" s="19">
        <f t="shared" si="0"/>
        <v>2019</v>
      </c>
      <c r="I9" s="6"/>
      <c r="K9" s="6"/>
      <c r="W9"/>
      <c r="X9"/>
      <c r="Y9"/>
    </row>
    <row r="10" spans="1:25" ht="24.75" customHeight="1">
      <c r="A10" s="15">
        <v>3009</v>
      </c>
      <c r="B10" s="15" t="s">
        <v>102</v>
      </c>
      <c r="C10" s="15" t="s">
        <v>97</v>
      </c>
      <c r="D10" s="20">
        <v>90423</v>
      </c>
      <c r="E10" s="23">
        <v>44005</v>
      </c>
      <c r="F10" s="18">
        <f t="shared" si="1"/>
        <v>44188</v>
      </c>
      <c r="G10" s="16">
        <f t="shared" si="2"/>
        <v>6</v>
      </c>
      <c r="H10" s="19">
        <f t="shared" si="0"/>
        <v>2020</v>
      </c>
      <c r="I10" s="6"/>
      <c r="K10" s="6"/>
      <c r="W10"/>
      <c r="X10"/>
      <c r="Y10"/>
    </row>
    <row r="11" spans="1:25" ht="24.75" customHeight="1">
      <c r="A11" s="15">
        <v>3010</v>
      </c>
      <c r="B11" s="15" t="s">
        <v>103</v>
      </c>
      <c r="C11" s="15" t="s">
        <v>94</v>
      </c>
      <c r="D11" s="20">
        <v>107877</v>
      </c>
      <c r="E11" s="23">
        <v>44255</v>
      </c>
      <c r="F11" s="18">
        <f t="shared" si="1"/>
        <v>44436</v>
      </c>
      <c r="G11" s="16">
        <f t="shared" si="2"/>
        <v>2</v>
      </c>
      <c r="H11" s="19">
        <f t="shared" si="0"/>
        <v>2021</v>
      </c>
      <c r="I11" s="6"/>
      <c r="K11" s="6"/>
      <c r="W11"/>
      <c r="X11"/>
      <c r="Y11"/>
    </row>
    <row r="12" spans="1:25" ht="24.75" customHeight="1">
      <c r="A12" s="15">
        <v>3011</v>
      </c>
      <c r="B12" s="15" t="s">
        <v>104</v>
      </c>
      <c r="C12" s="15" t="s">
        <v>91</v>
      </c>
      <c r="D12" s="20">
        <v>107634</v>
      </c>
      <c r="E12" s="23">
        <v>44505</v>
      </c>
      <c r="F12" s="18">
        <f t="shared" si="1"/>
        <v>44686</v>
      </c>
      <c r="G12" s="16">
        <f t="shared" si="2"/>
        <v>11</v>
      </c>
      <c r="H12" s="19">
        <f t="shared" si="0"/>
        <v>2021</v>
      </c>
      <c r="I12" s="6"/>
      <c r="K12" s="6"/>
      <c r="W12"/>
      <c r="X12"/>
      <c r="Y12"/>
    </row>
    <row r="13" spans="1:25" ht="24.75" customHeight="1">
      <c r="A13" s="15">
        <v>3012</v>
      </c>
      <c r="B13" s="15" t="s">
        <v>105</v>
      </c>
      <c r="C13" s="15" t="s">
        <v>91</v>
      </c>
      <c r="D13" s="20">
        <v>35226</v>
      </c>
      <c r="E13" s="23">
        <v>44755</v>
      </c>
      <c r="F13" s="18">
        <f t="shared" si="1"/>
        <v>44939</v>
      </c>
      <c r="G13" s="16">
        <f t="shared" si="2"/>
        <v>7</v>
      </c>
      <c r="H13" s="19">
        <f t="shared" si="0"/>
        <v>2022</v>
      </c>
      <c r="I13" s="6"/>
      <c r="K13" s="6"/>
      <c r="W13"/>
      <c r="X13"/>
      <c r="Y13"/>
    </row>
    <row r="14" spans="1:25" ht="24.75" customHeight="1">
      <c r="A14" s="15">
        <v>3013</v>
      </c>
      <c r="B14" s="15" t="s">
        <v>106</v>
      </c>
      <c r="C14" s="15" t="s">
        <v>94</v>
      </c>
      <c r="D14" s="20">
        <v>40872</v>
      </c>
      <c r="E14" s="23">
        <v>45005</v>
      </c>
      <c r="F14" s="18">
        <f t="shared" si="1"/>
        <v>45189</v>
      </c>
      <c r="G14" s="16">
        <f t="shared" si="2"/>
        <v>3</v>
      </c>
      <c r="H14" s="19">
        <f t="shared" si="0"/>
        <v>2023</v>
      </c>
      <c r="I14" s="6"/>
      <c r="K14" s="6"/>
      <c r="W14"/>
      <c r="X14"/>
      <c r="Y14"/>
    </row>
    <row r="15" spans="1:25" ht="24.75" customHeight="1">
      <c r="A15" s="15">
        <v>3014</v>
      </c>
      <c r="B15" s="15" t="s">
        <v>107</v>
      </c>
      <c r="C15" s="15" t="s">
        <v>94</v>
      </c>
      <c r="D15" s="20">
        <v>55378</v>
      </c>
      <c r="E15" s="23">
        <v>45255</v>
      </c>
      <c r="F15" s="18">
        <f t="shared" si="1"/>
        <v>45437</v>
      </c>
      <c r="G15" s="16">
        <f t="shared" si="2"/>
        <v>11</v>
      </c>
      <c r="H15" s="19">
        <f t="shared" si="0"/>
        <v>2023</v>
      </c>
      <c r="I15" s="6"/>
      <c r="K15" s="6"/>
      <c r="W15"/>
      <c r="X15"/>
      <c r="Y15"/>
    </row>
    <row r="16" spans="1:25" ht="24.75" customHeight="1">
      <c r="A16" s="15">
        <v>3015</v>
      </c>
      <c r="B16" s="15" t="s">
        <v>108</v>
      </c>
      <c r="C16" s="15" t="s">
        <v>94</v>
      </c>
      <c r="D16" s="20">
        <v>63297</v>
      </c>
      <c r="E16" s="23">
        <v>45505</v>
      </c>
      <c r="F16" s="18">
        <f t="shared" si="1"/>
        <v>45689</v>
      </c>
      <c r="G16" s="16">
        <f t="shared" si="2"/>
        <v>8</v>
      </c>
      <c r="H16" s="19">
        <f t="shared" si="0"/>
        <v>2024</v>
      </c>
      <c r="I16" s="6"/>
      <c r="K16" s="6"/>
      <c r="W16"/>
      <c r="X16"/>
      <c r="Y16"/>
    </row>
    <row r="17" spans="1:25" ht="24.75" customHeight="1">
      <c r="A17" s="15">
        <v>3016</v>
      </c>
      <c r="B17" s="15" t="s">
        <v>109</v>
      </c>
      <c r="C17" s="15" t="s">
        <v>91</v>
      </c>
      <c r="D17" s="20">
        <v>114173</v>
      </c>
      <c r="E17" s="23">
        <v>45755</v>
      </c>
      <c r="F17" s="18">
        <f t="shared" si="1"/>
        <v>45938</v>
      </c>
      <c r="G17" s="16">
        <f t="shared" si="2"/>
        <v>4</v>
      </c>
      <c r="H17" s="19">
        <f t="shared" si="0"/>
        <v>2025</v>
      </c>
      <c r="I17" s="6"/>
      <c r="K17" s="6"/>
      <c r="W17"/>
      <c r="X17"/>
      <c r="Y17"/>
    </row>
    <row r="18" spans="1:25" ht="24.75" customHeight="1">
      <c r="A18" s="15">
        <v>3017</v>
      </c>
      <c r="B18" s="15" t="s">
        <v>110</v>
      </c>
      <c r="C18" s="15" t="s">
        <v>94</v>
      </c>
      <c r="D18" s="20">
        <v>86915</v>
      </c>
      <c r="E18" s="23">
        <v>45818</v>
      </c>
      <c r="F18" s="18">
        <f>EDATE(E18,6)</f>
        <v>46001</v>
      </c>
      <c r="G18" s="16">
        <f t="shared" si="2"/>
        <v>6</v>
      </c>
      <c r="H18" s="19">
        <f t="shared" si="0"/>
        <v>2025</v>
      </c>
      <c r="I18" s="6"/>
      <c r="K18" s="6"/>
      <c r="W18"/>
      <c r="X18"/>
      <c r="Y18"/>
    </row>
    <row r="19" spans="1:25" ht="24.75" customHeight="1">
      <c r="A19" s="15">
        <v>3018</v>
      </c>
      <c r="B19" s="15" t="s">
        <v>111</v>
      </c>
      <c r="C19" s="15" t="s">
        <v>97</v>
      </c>
      <c r="D19" s="20">
        <v>116284</v>
      </c>
      <c r="E19" s="23">
        <v>45890</v>
      </c>
      <c r="F19" s="18">
        <f t="shared" si="1"/>
        <v>46074</v>
      </c>
      <c r="G19" s="16">
        <f t="shared" si="2"/>
        <v>8</v>
      </c>
      <c r="H19" s="19">
        <f t="shared" si="0"/>
        <v>2025</v>
      </c>
      <c r="I19" s="6"/>
      <c r="K19" s="6"/>
      <c r="W19"/>
      <c r="X19"/>
      <c r="Y19"/>
    </row>
    <row r="20" spans="1:25" ht="24.75" customHeight="1">
      <c r="A20" s="15">
        <v>3019</v>
      </c>
      <c r="B20" s="15" t="s">
        <v>112</v>
      </c>
      <c r="C20" s="15" t="s">
        <v>100</v>
      </c>
      <c r="D20" s="20">
        <v>116283</v>
      </c>
      <c r="E20" s="23">
        <v>45958</v>
      </c>
      <c r="F20" s="18">
        <f t="shared" si="1"/>
        <v>46140</v>
      </c>
      <c r="G20" s="16">
        <f t="shared" si="2"/>
        <v>10</v>
      </c>
      <c r="H20" s="19">
        <f t="shared" si="0"/>
        <v>2025</v>
      </c>
      <c r="I20" s="6"/>
      <c r="K20" s="6"/>
      <c r="W20"/>
      <c r="X20"/>
      <c r="Y20"/>
    </row>
    <row r="21" spans="1:25" ht="24.75" customHeight="1">
      <c r="A21" s="15">
        <v>3020</v>
      </c>
      <c r="B21" s="15" t="s">
        <v>113</v>
      </c>
      <c r="C21" s="15" t="s">
        <v>100</v>
      </c>
      <c r="D21" s="20">
        <v>99924</v>
      </c>
      <c r="E21" s="23">
        <v>45994</v>
      </c>
      <c r="F21" s="18">
        <f t="shared" si="1"/>
        <v>46176</v>
      </c>
      <c r="G21" s="16">
        <f t="shared" si="2"/>
        <v>12</v>
      </c>
      <c r="H21" s="19">
        <f t="shared" si="0"/>
        <v>2025</v>
      </c>
      <c r="I21" s="6"/>
      <c r="K21" s="6"/>
      <c r="W21"/>
      <c r="X21"/>
      <c r="Y21"/>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Khushiieee</dc:creator>
  <cp:keywords/>
  <dc:description/>
  <cp:lastModifiedBy>DELL</cp:lastModifiedBy>
  <cp:revision/>
  <dcterms:created xsi:type="dcterms:W3CDTF">2025-12-11T06:29:18Z</dcterms:created>
  <dcterms:modified xsi:type="dcterms:W3CDTF">2025-12-12T10:58:16Z</dcterms:modified>
  <cp:category/>
  <cp:contentStatus/>
</cp:coreProperties>
</file>